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LANCE SHEET" sheetId="1" r:id="rId4"/>
    <sheet name="SOURCE_USE OF FUNDS" sheetId="2" r:id="rId5"/>
    <sheet name="VALUATION SUMMARY" sheetId="3" r:id="rId6"/>
    <sheet name="KEY METRICS" sheetId="4" r:id="rId7"/>
    <sheet name="ASSUMPTIONS_DATA" sheetId="5" r:id="rId8"/>
    <sheet name="CAPEX &amp; DEPRECIATION" sheetId="6" r:id="rId9"/>
    <sheet name="REVENUE PROJECTION" sheetId="7" r:id="rId10"/>
    <sheet name="INCOME STATEMENT " sheetId="8" r:id="rId11"/>
    <sheet name="CASH FLOW" sheetId="9" r:id="rId12"/>
  </sheets>
</workbook>
</file>

<file path=xl/sharedStrings.xml><?xml version="1.0" encoding="utf-8"?>
<sst xmlns="http://schemas.openxmlformats.org/spreadsheetml/2006/main" uniqueCount="143">
  <si>
    <t xml:space="preserve">A2 - E FLEET OPERATIONS - REVENUE PROJECTION </t>
  </si>
  <si>
    <t>DESCRIPTION</t>
  </si>
  <si>
    <t>UNIT</t>
  </si>
  <si>
    <t>CY-2026</t>
  </si>
  <si>
    <t>CY-2027</t>
  </si>
  <si>
    <t>CY-2028</t>
  </si>
  <si>
    <t>CY-2029</t>
  </si>
  <si>
    <t>CY-2030</t>
  </si>
  <si>
    <t>CY-2031</t>
  </si>
  <si>
    <t>CY-2032</t>
  </si>
  <si>
    <t>CY-2033</t>
  </si>
  <si>
    <t>CY-2034</t>
  </si>
  <si>
    <t>CY-2035</t>
  </si>
  <si>
    <t>CY-2036</t>
  </si>
  <si>
    <t>CY-2037</t>
  </si>
  <si>
    <t>ASSETS</t>
  </si>
  <si>
    <t>CURRENT ASSETS</t>
  </si>
  <si>
    <t>CASH &amp; CASH EQUAVALENTS</t>
  </si>
  <si>
    <t>USD</t>
  </si>
  <si>
    <t>TOTAL CURRENT ASSETS</t>
  </si>
  <si>
    <t>NON-CURRENT ASSETS</t>
  </si>
  <si>
    <t xml:space="preserve">ELECTRIC TRUCKS </t>
  </si>
  <si>
    <t>FLEET MANAGEMENT SOFTWARE</t>
  </si>
  <si>
    <t>HARDWARE AND OFFICE EQUIPMENT</t>
  </si>
  <si>
    <t>TOTAL NON-CURRENT ASSETS</t>
  </si>
  <si>
    <t>TOTAL ASSETS</t>
  </si>
  <si>
    <t>LIABILITIES</t>
  </si>
  <si>
    <t>EQUITY</t>
  </si>
  <si>
    <t>RETAINED EARNINGS</t>
  </si>
  <si>
    <t>TOTAL EQUITY</t>
  </si>
  <si>
    <t>TOTAL LIABILITIES</t>
  </si>
  <si>
    <t>A2 - E FLEET OPERATIONS  - SOURCES &amp; USE OF FUNDS</t>
  </si>
  <si>
    <t>SOURCE OF FUNDS:</t>
  </si>
  <si>
    <t>EQUITY-INVESTOR SUBSCRIPTION (25%)</t>
  </si>
  <si>
    <t>CHANGE IN EQUITY</t>
  </si>
  <si>
    <t>USE OF FUNDS:</t>
  </si>
  <si>
    <t xml:space="preserve">OPERATING  RESERVE </t>
  </si>
  <si>
    <t xml:space="preserve">CONTINGENCY RESERVE </t>
  </si>
  <si>
    <t>TOTAL - USE OF FUNDS</t>
  </si>
  <si>
    <t>METRIC</t>
  </si>
  <si>
    <t>EBITDA</t>
  </si>
  <si>
    <t xml:space="preserve">VALUATION MULTIPLE </t>
  </si>
  <si>
    <t>ENTERPRISE VALUE</t>
  </si>
  <si>
    <r>
      <rPr>
        <b val="1"/>
        <sz val="10"/>
        <color indexed="8"/>
        <rFont val="Helvetica Neue"/>
      </rPr>
      <t>LESS:</t>
    </r>
    <r>
      <rPr>
        <sz val="10"/>
        <color indexed="8"/>
        <rFont val="Helvetica Neue"/>
      </rPr>
      <t xml:space="preserve"> NET DEBT</t>
    </r>
  </si>
  <si>
    <t>EQUITY VALUE</t>
  </si>
  <si>
    <t>INVESTOR 25% STAKE VALUE</t>
  </si>
  <si>
    <t>MOIC</t>
  </si>
  <si>
    <t>IRR</t>
  </si>
  <si>
    <t>%</t>
  </si>
  <si>
    <t>EBITDA MARGIN</t>
  </si>
  <si>
    <t>NET MARGIN</t>
  </si>
  <si>
    <t>ROE</t>
  </si>
  <si>
    <t>A2 - E FLEET OPERATIONS - ASSUMPTIONS/DATA</t>
  </si>
  <si>
    <t>QUANTITY</t>
  </si>
  <si>
    <t>NUMBER OF TRUCKS</t>
  </si>
  <si>
    <t>NUMBER</t>
  </si>
  <si>
    <t>NUMBER OF SWAPS PER TRUCK PER DAY</t>
  </si>
  <si>
    <t>NUMBER OF BATTERY PACKS TO SWAP PER DAY</t>
  </si>
  <si>
    <t>NUMBER OF BATTERY PACKS CHARGED PER CHARGER PER DAY</t>
  </si>
  <si>
    <t>COST PER TRUCK</t>
  </si>
  <si>
    <t>TOTAL COST OF  TRUCKS</t>
  </si>
  <si>
    <t>TOTAL INVESTMENT</t>
  </si>
  <si>
    <t>NUMBER OF TRUCKS IN OPERATION</t>
  </si>
  <si>
    <t>AVERAGE KILOMETRES PER TRUCK PER YEAR</t>
  </si>
  <si>
    <t>KM</t>
  </si>
  <si>
    <t>TOTAL KILOMETRES OF FLEET</t>
  </si>
  <si>
    <t>ENERGY USED PER KM</t>
  </si>
  <si>
    <t>KW</t>
  </si>
  <si>
    <t>TOTAL ENERGY PURCHASED</t>
  </si>
  <si>
    <t>COST PER KW OF ENERGY</t>
  </si>
  <si>
    <t>TOTAL COST OF ENERGY</t>
  </si>
  <si>
    <t>NUMBER OF DAYS PER TRIP</t>
  </si>
  <si>
    <t>NUMBER OF OPERATING DAYS IN A YEAR</t>
  </si>
  <si>
    <t>DAYS</t>
  </si>
  <si>
    <t>NUMBER OF TRIPS PER YEAR PER TRUCK</t>
  </si>
  <si>
    <t>NUMBER OF TRIPS OF FLEET PER YEAR</t>
  </si>
  <si>
    <t>AVERAGE CHARGEABLE TONNES PER TRIP</t>
  </si>
  <si>
    <t>TONNES</t>
  </si>
  <si>
    <t>CHARGEABLE TONNES OF FLEET PER YEAR</t>
  </si>
  <si>
    <t>FREIGHT RATE PER TONNE</t>
  </si>
  <si>
    <t>ETB</t>
  </si>
  <si>
    <t>TOTAL FREIGHT REVENUE</t>
  </si>
  <si>
    <t xml:space="preserve">A2 - E FLEET OPERATIONS- CAPEX &amp; DEPRECIATION </t>
  </si>
  <si>
    <t>ASSET TYPE</t>
  </si>
  <si>
    <t>USEFUL LIFE (YEARS)</t>
  </si>
  <si>
    <t>COST OF E TRUCKS WITHOUT BATTERIES</t>
  </si>
  <si>
    <t>TOTAL-CAPEX</t>
  </si>
  <si>
    <t xml:space="preserve">LESS: DEPRECIATION </t>
  </si>
  <si>
    <t>CAPEX - CLOSING BALANCE</t>
  </si>
  <si>
    <t>DEPRECIATION GRID</t>
  </si>
  <si>
    <t>YEAR OF ADDITION</t>
  </si>
  <si>
    <r>
      <rPr>
        <b val="1"/>
        <sz val="10"/>
        <color indexed="8"/>
        <rFont val="Helvetica Neue"/>
      </rPr>
      <t>CY-2026</t>
    </r>
  </si>
  <si>
    <t>ADDITION 1</t>
  </si>
  <si>
    <r>
      <rPr>
        <b val="1"/>
        <sz val="10"/>
        <color indexed="8"/>
        <rFont val="Helvetica Neue"/>
      </rPr>
      <t>CY-2027</t>
    </r>
  </si>
  <si>
    <t>ADDITION 2</t>
  </si>
  <si>
    <r>
      <rPr>
        <b val="1"/>
        <sz val="10"/>
        <color indexed="8"/>
        <rFont val="Helvetica Neue"/>
      </rPr>
      <t>CY-2028</t>
    </r>
  </si>
  <si>
    <t>ADDITION 3</t>
  </si>
  <si>
    <r>
      <rPr>
        <b val="1"/>
        <sz val="10"/>
        <color indexed="8"/>
        <rFont val="Helvetica Neue"/>
      </rPr>
      <t>CY-2029</t>
    </r>
  </si>
  <si>
    <t>ADDITION 4</t>
  </si>
  <si>
    <r>
      <rPr>
        <b val="1"/>
        <sz val="10"/>
        <color indexed="8"/>
        <rFont val="Helvetica Neue"/>
      </rPr>
      <t>CY-2030</t>
    </r>
  </si>
  <si>
    <t>ADDITION 5</t>
  </si>
  <si>
    <r>
      <rPr>
        <b val="1"/>
        <sz val="10"/>
        <color indexed="8"/>
        <rFont val="Helvetica Neue"/>
      </rPr>
      <t>CY-2031</t>
    </r>
  </si>
  <si>
    <t>ADDITION 6</t>
  </si>
  <si>
    <r>
      <rPr>
        <b val="1"/>
        <sz val="10"/>
        <color indexed="8"/>
        <rFont val="Helvetica Neue"/>
      </rPr>
      <t>CY-2032</t>
    </r>
  </si>
  <si>
    <t>TOTAL</t>
  </si>
  <si>
    <t>SOFTWARE &amp; PLATFORM DEVELOPMENT</t>
  </si>
  <si>
    <t>HARDWARE &amp; OFFICE EQUIPMENT</t>
  </si>
  <si>
    <t>TOTAL DEPRECIATION</t>
  </si>
  <si>
    <t>ASSET VALUE</t>
  </si>
  <si>
    <t>ELECTRIC TRUCKS</t>
  </si>
  <si>
    <t>CHARGEABLE  TONNES OF FREIGHT</t>
  </si>
  <si>
    <t>RATE PER TONNE</t>
  </si>
  <si>
    <t>REVENUE FROM FREIGHT CHARGES</t>
  </si>
  <si>
    <t>REVENUE</t>
  </si>
  <si>
    <r>
      <rPr>
        <b val="1"/>
        <sz val="10"/>
        <color indexed="8"/>
        <rFont val="Helvetica Neue"/>
      </rPr>
      <t>LESS:</t>
    </r>
    <r>
      <rPr>
        <sz val="10"/>
        <color indexed="8"/>
        <rFont val="Helvetica Neue"/>
      </rPr>
      <t xml:space="preserve"> COST OF BATTERY CHARGE</t>
    </r>
  </si>
  <si>
    <t>GROSS MARGIN</t>
  </si>
  <si>
    <r>
      <rPr>
        <b val="1"/>
        <sz val="10"/>
        <color indexed="8"/>
        <rFont val="Helvetica Neue"/>
      </rPr>
      <t xml:space="preserve">LESS: </t>
    </r>
    <r>
      <rPr>
        <sz val="10"/>
        <color indexed="8"/>
        <rFont val="Helvetica Neue"/>
      </rPr>
      <t>OPERATING EXPENSES</t>
    </r>
  </si>
  <si>
    <r>
      <rPr>
        <b val="1"/>
        <sz val="10"/>
        <color indexed="8"/>
        <rFont val="Helvetica Neue"/>
      </rPr>
      <t>LESS:</t>
    </r>
    <r>
      <rPr>
        <sz val="10"/>
        <color indexed="8"/>
        <rFont val="Helvetica Neue"/>
      </rPr>
      <t xml:space="preserve"> VARIABLE OPEX (25% OF REVENUE)</t>
    </r>
  </si>
  <si>
    <t>DEPRECIATION</t>
  </si>
  <si>
    <t>EBT</t>
  </si>
  <si>
    <t>TAX @ 30%</t>
  </si>
  <si>
    <t>EAT (NET INCOME)</t>
  </si>
  <si>
    <t>CUMULATIVE EAT</t>
  </si>
  <si>
    <t>RATE OF RETURN</t>
  </si>
  <si>
    <t>EXIT VALUE</t>
  </si>
  <si>
    <t>INVESTOR EAT (NET INCOME) 25%</t>
  </si>
  <si>
    <t>INVESTOR RATE OF RETURN 25%</t>
  </si>
  <si>
    <t>OPERATING ACTIVITIES</t>
  </si>
  <si>
    <t>NET INCOME</t>
  </si>
  <si>
    <r>
      <rPr>
        <b val="1"/>
        <sz val="10"/>
        <color indexed="8"/>
        <rFont val="Helvetica Neue"/>
      </rPr>
      <t xml:space="preserve">ADD: </t>
    </r>
    <r>
      <rPr>
        <sz val="10"/>
        <color indexed="8"/>
        <rFont val="Helvetica Neue"/>
      </rPr>
      <t>DEPRECIATION</t>
    </r>
  </si>
  <si>
    <t>NET CASH FROM OPERATIONS</t>
  </si>
  <si>
    <t>INVESTING ACTIVITIES</t>
  </si>
  <si>
    <t>CAPEX</t>
  </si>
  <si>
    <t>NET CASH FROM INVESTING</t>
  </si>
  <si>
    <t>FINANCING ACTIVITIES</t>
  </si>
  <si>
    <t>EQUITY INJECTION</t>
  </si>
  <si>
    <t xml:space="preserve">DIVIDEND </t>
  </si>
  <si>
    <t>DIVIDEND</t>
  </si>
  <si>
    <t>DIVIDEND TAX @ 15%</t>
  </si>
  <si>
    <t>NET CASH FROM FINANCING</t>
  </si>
  <si>
    <t>NET CHANGE IN CASH</t>
  </si>
  <si>
    <t>CASH-OPENING BALANCE</t>
  </si>
  <si>
    <r>
      <rPr>
        <b val="1"/>
        <sz val="10"/>
        <color indexed="8"/>
        <rFont val="Helvetica Neue"/>
      </rPr>
      <t>CASH-CLOSING BALANCE</t>
    </r>
  </si>
</sst>
</file>

<file path=xl/styles.xml><?xml version="1.0" encoding="utf-8"?>
<styleSheet xmlns="http://schemas.openxmlformats.org/spreadsheetml/2006/main">
  <numFmts count="7">
    <numFmt numFmtId="0" formatCode="General"/>
    <numFmt numFmtId="59" formatCode="#,##0.00&quot; &quot;;(#,##0.00)"/>
    <numFmt numFmtId="60" formatCode="#,##0.00%&quot; &quot;;(#,##0.00%)"/>
    <numFmt numFmtId="61" formatCode="#,##0.0000"/>
    <numFmt numFmtId="62" formatCode="#,##0.000"/>
    <numFmt numFmtId="63" formatCode="#,##0.00%"/>
    <numFmt numFmtId="64" formatCode="0.0%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2"/>
      </right>
      <top style="thin">
        <color indexed="10"/>
      </top>
      <bottom/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 wrapText="1"/>
    </xf>
    <xf numFmtId="59" fontId="0" fillId="2" borderId="1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59" fontId="3" fillId="2" borderId="1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fillId="2" borderId="1" applyNumberFormat="1" applyFont="1" applyFill="1" applyBorder="1" applyAlignment="1" applyProtection="0">
      <alignment vertical="top" wrapText="1"/>
    </xf>
    <xf numFmtId="4" fontId="3" fillId="2" borderId="1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0" fontId="3" fillId="2" borderId="1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10" fontId="0" fillId="2" borderId="1" applyNumberFormat="1" applyFont="1" applyFill="1" applyBorder="1" applyAlignment="1" applyProtection="0">
      <alignment vertical="top" wrapText="1"/>
    </xf>
    <xf numFmtId="60" fontId="0" fillId="2" borderId="1" applyNumberFormat="1" applyFont="1" applyFill="1" applyBorder="1" applyAlignment="1" applyProtection="0">
      <alignment vertical="top" wrapText="1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1" applyNumberFormat="1" applyFont="1" applyFill="1" applyBorder="1" applyAlignment="1" applyProtection="0">
      <alignment vertical="top" wrapText="1"/>
    </xf>
    <xf numFmtId="3" fontId="0" fillId="2" borderId="1" applyNumberFormat="1" applyFont="1" applyFill="1" applyBorder="1" applyAlignment="1" applyProtection="0">
      <alignment vertical="top" wrapText="1"/>
    </xf>
    <xf numFmtId="49" fontId="0" fillId="2" borderId="12" applyNumberFormat="1" applyFont="1" applyFill="1" applyBorder="1" applyAlignment="1" applyProtection="0">
      <alignment vertical="top" wrapText="1"/>
    </xf>
    <xf numFmtId="61" fontId="0" fillId="2" borderId="1" applyNumberFormat="1" applyFont="1" applyFill="1" applyBorder="1" applyAlignment="1" applyProtection="0">
      <alignment vertical="top" wrapText="1"/>
    </xf>
    <xf numFmtId="62" fontId="0" fillId="2" borderId="1" applyNumberFormat="1" applyFont="1" applyFill="1" applyBorder="1" applyAlignment="1" applyProtection="0">
      <alignment vertical="top" wrapText="1"/>
    </xf>
    <xf numFmtId="63" fontId="0" fillId="2" borderId="1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" applyNumberFormat="1" applyFont="1" applyFill="1" applyBorder="1" applyAlignment="1" applyProtection="0">
      <alignment vertical="top" wrapText="1"/>
    </xf>
    <xf numFmtId="0" fontId="3" fillId="2" borderId="1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59" fontId="0" fillId="2" borderId="13" applyNumberFormat="1" applyFont="1" applyFill="1" applyBorder="1" applyAlignment="1" applyProtection="0">
      <alignment vertical="top" wrapText="1"/>
    </xf>
    <xf numFmtId="49" fontId="3" fillId="2" borderId="14" applyNumberFormat="1" applyFont="1" applyFill="1" applyBorder="1" applyAlignment="1" applyProtection="0">
      <alignment vertical="top" wrapText="1"/>
    </xf>
    <xf numFmtId="59" fontId="3" fillId="2" borderId="15" applyNumberFormat="1" applyFont="1" applyFill="1" applyBorder="1" applyAlignment="1" applyProtection="0">
      <alignment vertical="top" wrapText="1"/>
    </xf>
    <xf numFmtId="59" fontId="3" fillId="2" borderId="16" applyNumberFormat="1" applyFont="1" applyFill="1" applyBorder="1" applyAlignment="1" applyProtection="0">
      <alignment vertical="top" wrapText="1"/>
    </xf>
    <xf numFmtId="59" fontId="3" fillId="2" borderId="17" applyNumberFormat="1" applyFont="1" applyFill="1" applyBorder="1" applyAlignment="1" applyProtection="0">
      <alignment vertical="top" wrapText="1"/>
    </xf>
    <xf numFmtId="59" fontId="3" fillId="2" borderId="18" applyNumberFormat="1" applyFont="1" applyFill="1" applyBorder="1" applyAlignment="1" applyProtection="0">
      <alignment vertical="top" wrapText="1"/>
    </xf>
    <xf numFmtId="59" fontId="0" fillId="2" borderId="19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4" fontId="0" fillId="2" borderId="1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ff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N21"/>
  <sheetViews>
    <sheetView workbookViewId="0" showGridLines="0" defaultGridColor="1"/>
  </sheetViews>
  <sheetFormatPr defaultColWidth="16.3333" defaultRowHeight="19.9" customHeight="1" outlineLevelRow="0" outlineLevelCol="0"/>
  <cols>
    <col min="1" max="1" width="40.3516" style="1" customWidth="1"/>
    <col min="2" max="2" width="8.85156" style="1" customWidth="1"/>
    <col min="3" max="14" width="16.1719" style="1" customWidth="1"/>
    <col min="15" max="16384" width="16.3516" style="1" customWidth="1"/>
  </cols>
  <sheetData>
    <row r="1" ht="20.05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20.0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5">
        <v>13</v>
      </c>
      <c r="N2" t="s" s="5">
        <v>14</v>
      </c>
    </row>
    <row r="3" ht="20.05" customHeight="1">
      <c r="A3" t="s" s="5">
        <v>15</v>
      </c>
      <c r="B3" s="6"/>
      <c r="C3" s="6"/>
      <c r="D3" s="6"/>
      <c r="E3" s="4"/>
      <c r="F3" s="4"/>
      <c r="G3" s="4"/>
      <c r="H3" s="4"/>
      <c r="I3" s="4"/>
      <c r="J3" s="4"/>
      <c r="K3" s="4"/>
      <c r="L3" s="4"/>
      <c r="M3" s="4"/>
      <c r="N3" s="4"/>
    </row>
    <row r="4" ht="20.05" customHeight="1">
      <c r="A4" t="s" s="5">
        <v>16</v>
      </c>
      <c r="B4" s="6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20.05" customHeight="1">
      <c r="A5" t="s" s="7">
        <v>17</v>
      </c>
      <c r="B5" t="s" s="7">
        <v>18</v>
      </c>
      <c r="C5" s="4">
        <f>'CASH FLOW'!C22</f>
        <v>61480000</v>
      </c>
      <c r="D5" s="4">
        <f>'CASH FLOW'!D22</f>
        <v>69678433.8709677</v>
      </c>
      <c r="E5" s="4">
        <f>'CASH FLOW'!E22</f>
        <v>81420140.16129041</v>
      </c>
      <c r="F5" s="4">
        <f>'CASH FLOW'!F22</f>
        <v>99464663.5846778</v>
      </c>
      <c r="G5" s="4">
        <f>'CASH FLOW'!G22</f>
        <v>126849624.605645</v>
      </c>
      <c r="H5" s="4">
        <f>'CASH FLOW'!H22</f>
        <v>165042858.509475</v>
      </c>
      <c r="I5" s="4">
        <f>'CASH FLOW'!I22</f>
        <v>207082833.296028</v>
      </c>
      <c r="J5" s="4">
        <f>'CASH FLOW'!J22</f>
        <v>210081793.475216</v>
      </c>
      <c r="K5" s="4">
        <f>'CASH FLOW'!K22</f>
        <v>266589664.703989</v>
      </c>
      <c r="L5" s="4">
        <f>'CASH FLOW'!L22</f>
        <v>326613755.885306</v>
      </c>
      <c r="M5" s="4">
        <f>'CASH FLOW'!M22</f>
        <v>390395899.747021</v>
      </c>
      <c r="N5" s="4">
        <f>'CASH FLOW'!N22</f>
        <v>456300062.817101</v>
      </c>
    </row>
    <row r="6" ht="20.05" customHeight="1">
      <c r="A6" t="s" s="5">
        <v>19</v>
      </c>
      <c r="B6" t="s" s="5">
        <v>18</v>
      </c>
      <c r="C6" s="8">
        <f>C5</f>
        <v>61480000</v>
      </c>
      <c r="D6" s="8">
        <f>D5</f>
        <v>69678433.8709677</v>
      </c>
      <c r="E6" s="8">
        <f>E5</f>
        <v>81420140.16129041</v>
      </c>
      <c r="F6" s="8">
        <f>F5</f>
        <v>99464663.5846778</v>
      </c>
      <c r="G6" s="8">
        <f>G5</f>
        <v>126849624.605645</v>
      </c>
      <c r="H6" s="8">
        <f>H5</f>
        <v>165042858.509475</v>
      </c>
      <c r="I6" s="8">
        <f>I5</f>
        <v>207082833.296028</v>
      </c>
      <c r="J6" s="8">
        <f>J5</f>
        <v>210081793.475216</v>
      </c>
      <c r="K6" s="8">
        <f>K5</f>
        <v>266589664.703989</v>
      </c>
      <c r="L6" s="8">
        <f>L5</f>
        <v>326613755.885306</v>
      </c>
      <c r="M6" s="8">
        <f>M5</f>
        <v>390395899.747021</v>
      </c>
      <c r="N6" s="8">
        <f>N5</f>
        <v>456300062.817101</v>
      </c>
    </row>
    <row r="7" ht="20.05" customHeight="1">
      <c r="A7" s="3"/>
      <c r="B7" s="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ht="20.05" customHeight="1">
      <c r="A8" t="s" s="5">
        <v>20</v>
      </c>
      <c r="B8" s="3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ht="20.05" customHeight="1">
      <c r="A9" t="s" s="7">
        <v>21</v>
      </c>
      <c r="B9" t="s" s="7">
        <v>18</v>
      </c>
      <c r="C9" s="4">
        <f>'CAPEX &amp; DEPRECIATION'!E3</f>
        <v>0</v>
      </c>
      <c r="D9" s="4">
        <f>'CAPEX &amp; DEPRECIATION'!F28</f>
        <v>46648000</v>
      </c>
      <c r="E9" s="4">
        <f>'CAPEX &amp; DEPRECIATION'!G28</f>
        <v>93296000</v>
      </c>
      <c r="F9" s="4">
        <f>'CAPEX &amp; DEPRECIATION'!H28</f>
        <v>139944000</v>
      </c>
      <c r="G9" s="4">
        <f>'CAPEX &amp; DEPRECIATION'!I28</f>
        <v>186592000</v>
      </c>
      <c r="H9" s="4">
        <f>'CAPEX &amp; DEPRECIATION'!J28</f>
        <v>233240000</v>
      </c>
      <c r="I9" s="4">
        <f>'CAPEX &amp; DEPRECIATION'!K28</f>
        <v>279888000</v>
      </c>
      <c r="J9" s="4">
        <f>'CAPEX &amp; DEPRECIATION'!L28</f>
        <v>326676000</v>
      </c>
      <c r="K9" s="4">
        <f>'CAPEX &amp; DEPRECIATION'!M28</f>
        <v>323344000</v>
      </c>
      <c r="L9" s="4">
        <f>'CAPEX &amp; DEPRECIATION'!N28</f>
        <v>320012000</v>
      </c>
      <c r="M9" s="4">
        <f>'CAPEX &amp; DEPRECIATION'!O28</f>
        <v>316680000</v>
      </c>
      <c r="N9" s="4">
        <f>'CAPEX &amp; DEPRECIATION'!P28</f>
        <v>313348000</v>
      </c>
    </row>
    <row r="10" ht="20.05" customHeight="1">
      <c r="A10" t="s" s="7">
        <v>22</v>
      </c>
      <c r="B10" t="s" s="7">
        <v>18</v>
      </c>
      <c r="C10" s="4">
        <f>'CAPEX &amp; DEPRECIATION'!E4</f>
        <v>0</v>
      </c>
      <c r="D10" s="4">
        <f>'CAPEX &amp; DEPRECIATION'!F29</f>
        <v>875000</v>
      </c>
      <c r="E10" s="4">
        <f>'CAPEX &amp; DEPRECIATION'!G29</f>
        <v>750000</v>
      </c>
      <c r="F10" s="4">
        <f>'CAPEX &amp; DEPRECIATION'!H29</f>
        <v>625000</v>
      </c>
      <c r="G10" s="4">
        <f>'CAPEX &amp; DEPRECIATION'!I29</f>
        <v>500000</v>
      </c>
      <c r="H10" s="4">
        <f>'CAPEX &amp; DEPRECIATION'!J29</f>
        <v>375000</v>
      </c>
      <c r="I10" s="4">
        <f>'CAPEX &amp; DEPRECIATION'!K29</f>
        <v>250000</v>
      </c>
      <c r="J10" s="4">
        <f>'CAPEX &amp; DEPRECIATION'!L29</f>
        <v>125000</v>
      </c>
      <c r="K10" s="4">
        <f>'CAPEX &amp; DEPRECIATION'!M29</f>
        <v>0</v>
      </c>
      <c r="L10" s="4">
        <f>'CAPEX &amp; DEPRECIATION'!N29</f>
        <v>0</v>
      </c>
      <c r="M10" s="4">
        <f>'CAPEX &amp; DEPRECIATION'!O29</f>
        <v>0</v>
      </c>
      <c r="N10" s="4">
        <f>'CAPEX &amp; DEPRECIATION'!P29</f>
        <v>0</v>
      </c>
    </row>
    <row r="11" ht="20.05" customHeight="1">
      <c r="A11" t="s" s="7">
        <v>23</v>
      </c>
      <c r="B11" t="s" s="7">
        <v>18</v>
      </c>
      <c r="C11" s="4">
        <f>'CAPEX &amp; DEPRECIATION'!E5</f>
        <v>0</v>
      </c>
      <c r="D11" s="4">
        <f>'CAPEX &amp; DEPRECIATION'!F30</f>
        <v>450000</v>
      </c>
      <c r="E11" s="4">
        <f>'CAPEX &amp; DEPRECIATION'!G30</f>
        <v>400000</v>
      </c>
      <c r="F11" s="4">
        <f>'CAPEX &amp; DEPRECIATION'!H30</f>
        <v>350000</v>
      </c>
      <c r="G11" s="4">
        <f>'CAPEX &amp; DEPRECIATION'!I30</f>
        <v>300000</v>
      </c>
      <c r="H11" s="4">
        <f>'CAPEX &amp; DEPRECIATION'!J30</f>
        <v>250000</v>
      </c>
      <c r="I11" s="4">
        <f>'CAPEX &amp; DEPRECIATION'!K30</f>
        <v>200000</v>
      </c>
      <c r="J11" s="4">
        <f>'CAPEX &amp; DEPRECIATION'!L30</f>
        <v>150000</v>
      </c>
      <c r="K11" s="4">
        <f>'CAPEX &amp; DEPRECIATION'!M30</f>
        <v>100000</v>
      </c>
      <c r="L11" s="4">
        <f>'CAPEX &amp; DEPRECIATION'!N30</f>
        <v>50000</v>
      </c>
      <c r="M11" s="4">
        <f>'CAPEX &amp; DEPRECIATION'!O30</f>
        <v>0</v>
      </c>
      <c r="N11" s="4">
        <f>'CAPEX &amp; DEPRECIATION'!P30</f>
        <v>0</v>
      </c>
    </row>
    <row r="12" ht="20.05" customHeight="1">
      <c r="A12" t="s" s="5">
        <v>24</v>
      </c>
      <c r="B12" t="s" s="5">
        <v>18</v>
      </c>
      <c r="C12" s="8">
        <f>SUM(C9:C11)</f>
        <v>0</v>
      </c>
      <c r="D12" s="8">
        <f>SUM(D9:D11)</f>
        <v>47973000</v>
      </c>
      <c r="E12" s="8">
        <f>SUM(E9:E11)</f>
        <v>94446000</v>
      </c>
      <c r="F12" s="8">
        <f>SUM(F9:F11)</f>
        <v>140919000</v>
      </c>
      <c r="G12" s="8">
        <f>SUM(G9:G11)</f>
        <v>187392000</v>
      </c>
      <c r="H12" s="8">
        <f>SUM(H9:H11)</f>
        <v>233865000</v>
      </c>
      <c r="I12" s="8">
        <f>SUM(I9:I11)</f>
        <v>280338000</v>
      </c>
      <c r="J12" s="8">
        <f>SUM(J9:J11)</f>
        <v>326951000</v>
      </c>
      <c r="K12" s="8">
        <f>SUM(K9:K11)</f>
        <v>323444000</v>
      </c>
      <c r="L12" s="8">
        <f>SUM(L9:L11)</f>
        <v>320062000</v>
      </c>
      <c r="M12" s="8">
        <f>SUM(M9:M11)</f>
        <v>316680000</v>
      </c>
      <c r="N12" s="8">
        <f>SUM(N9:N11)</f>
        <v>313348000</v>
      </c>
    </row>
    <row r="13" ht="20.05" customHeight="1">
      <c r="A13" t="s" s="5">
        <v>25</v>
      </c>
      <c r="B13" t="s" s="5">
        <v>18</v>
      </c>
      <c r="C13" s="8">
        <f>C6+C12</f>
        <v>61480000</v>
      </c>
      <c r="D13" s="8">
        <f>D6+D12</f>
        <v>117651433.870968</v>
      </c>
      <c r="E13" s="8">
        <f>E6+E12</f>
        <v>175866140.16129</v>
      </c>
      <c r="F13" s="8">
        <f>F6+F12</f>
        <v>240383663.584678</v>
      </c>
      <c r="G13" s="8">
        <f>G6+G12</f>
        <v>314241624.605645</v>
      </c>
      <c r="H13" s="8">
        <f>H6+H12</f>
        <v>398907858.509475</v>
      </c>
      <c r="I13" s="8">
        <f>I6+I12</f>
        <v>487420833.296028</v>
      </c>
      <c r="J13" s="8">
        <f>J6+J12</f>
        <v>537032793.475216</v>
      </c>
      <c r="K13" s="8">
        <f>K6+K12</f>
        <v>590033664.703989</v>
      </c>
      <c r="L13" s="8">
        <f>L6+L12</f>
        <v>646675755.885306</v>
      </c>
      <c r="M13" s="8">
        <f>M6+M12</f>
        <v>707075899.747021</v>
      </c>
      <c r="N13" s="8">
        <f>N6+N12</f>
        <v>769648062.817101</v>
      </c>
    </row>
    <row r="14" ht="20.05" customHeight="1">
      <c r="A14" s="3"/>
      <c r="B14" s="6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20.05" customHeight="1">
      <c r="A15" t="s" s="5">
        <v>26</v>
      </c>
      <c r="B15" s="6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ht="20.05" customHeight="1">
      <c r="A16" t="s" s="7">
        <v>27</v>
      </c>
      <c r="B16" t="s" s="7">
        <v>18</v>
      </c>
      <c r="C16" s="4">
        <f>'SOURCE_USE OF FUNDS'!C6</f>
        <v>61480000</v>
      </c>
      <c r="D16" s="4">
        <f>'SOURCE_USE OF FUNDS'!D6</f>
        <v>116460000</v>
      </c>
      <c r="E16" s="4">
        <f>'SOURCE_USE OF FUNDS'!E6</f>
        <v>166440000</v>
      </c>
      <c r="F16" s="4">
        <f>'SOURCE_USE OF FUNDS'!F6</f>
        <v>216420000</v>
      </c>
      <c r="G16" s="4">
        <f>'SOURCE_USE OF FUNDS'!G6</f>
        <v>266400000</v>
      </c>
      <c r="H16" s="4">
        <f>'SOURCE_USE OF FUNDS'!H6</f>
        <v>316380000</v>
      </c>
      <c r="I16" s="4">
        <f>'SOURCE_USE OF FUNDS'!I6</f>
        <v>366500000</v>
      </c>
      <c r="J16" s="4">
        <f>'SOURCE_USE OF FUNDS'!J6</f>
        <v>366500000</v>
      </c>
      <c r="K16" s="4">
        <f>'SOURCE_USE OF FUNDS'!K6</f>
        <v>366500000</v>
      </c>
      <c r="L16" s="4">
        <f>'SOURCE_USE OF FUNDS'!L6</f>
        <v>366500000</v>
      </c>
      <c r="M16" s="4">
        <f>'SOURCE_USE OF FUNDS'!M6</f>
        <v>366500000</v>
      </c>
      <c r="N16" s="4">
        <f>'SOURCE_USE OF FUNDS'!N6</f>
        <v>366500000</v>
      </c>
    </row>
    <row r="17" ht="20.05" customHeight="1">
      <c r="A17" t="s" s="7">
        <v>28</v>
      </c>
      <c r="B17" t="s" s="7">
        <v>18</v>
      </c>
      <c r="C17" s="4">
        <f>C13-C16</f>
        <v>0</v>
      </c>
      <c r="D17" s="4">
        <f>D13-D16</f>
        <v>1191433.870968</v>
      </c>
      <c r="E17" s="4">
        <f>E13-E16</f>
        <v>9426140.161289999</v>
      </c>
      <c r="F17" s="4">
        <f>F13-F16</f>
        <v>23963663.584678</v>
      </c>
      <c r="G17" s="4">
        <f>G13-G16</f>
        <v>47841624.605645</v>
      </c>
      <c r="H17" s="4">
        <f>H13-H16</f>
        <v>82527858.50947499</v>
      </c>
      <c r="I17" s="4">
        <f>I13-I16</f>
        <v>120920833.296028</v>
      </c>
      <c r="J17" s="4">
        <f>J13-J16</f>
        <v>170532793.475216</v>
      </c>
      <c r="K17" s="4">
        <f>K13-K16</f>
        <v>223533664.703989</v>
      </c>
      <c r="L17" s="4">
        <f>L13-L16</f>
        <v>280175755.885306</v>
      </c>
      <c r="M17" s="4">
        <f>M13-M16</f>
        <v>340575899.747021</v>
      </c>
      <c r="N17" s="4">
        <f>N13-N16</f>
        <v>403148062.817101</v>
      </c>
    </row>
    <row r="18" ht="20.05" customHeight="1">
      <c r="A18" t="s" s="5">
        <v>29</v>
      </c>
      <c r="B18" s="3"/>
      <c r="C18" s="8">
        <f>C16+C17</f>
        <v>61480000</v>
      </c>
      <c r="D18" s="8">
        <f>D16+D17</f>
        <v>117651433.870968</v>
      </c>
      <c r="E18" s="8">
        <f>E16+E17</f>
        <v>175866140.16129</v>
      </c>
      <c r="F18" s="8">
        <f>F16+F17</f>
        <v>240383663.584678</v>
      </c>
      <c r="G18" s="8">
        <f>G16+G17</f>
        <v>314241624.605645</v>
      </c>
      <c r="H18" s="8">
        <f>H16+H17</f>
        <v>398907858.509475</v>
      </c>
      <c r="I18" s="8">
        <f>I16+I17</f>
        <v>487420833.296028</v>
      </c>
      <c r="J18" s="8">
        <f>J16+J17</f>
        <v>537032793.475216</v>
      </c>
      <c r="K18" s="8">
        <f>K16+K17</f>
        <v>590033664.703989</v>
      </c>
      <c r="L18" s="8">
        <f>L16+L17</f>
        <v>646675755.885306</v>
      </c>
      <c r="M18" s="8">
        <f>M16+M17</f>
        <v>707075899.747021</v>
      </c>
      <c r="N18" s="8">
        <f>N16+N17</f>
        <v>769648062.817101</v>
      </c>
    </row>
    <row r="19" ht="20.05" customHeight="1">
      <c r="A19" t="s" s="5">
        <v>30</v>
      </c>
      <c r="B19" s="3"/>
      <c r="C19" s="8">
        <f>C18</f>
        <v>61480000</v>
      </c>
      <c r="D19" s="8">
        <f>D18</f>
        <v>117651433.870968</v>
      </c>
      <c r="E19" s="8">
        <f>E18</f>
        <v>175866140.16129</v>
      </c>
      <c r="F19" s="8">
        <f>F18</f>
        <v>240383663.584678</v>
      </c>
      <c r="G19" s="8">
        <f>G18</f>
        <v>314241624.605645</v>
      </c>
      <c r="H19" s="8">
        <f>H18</f>
        <v>398907858.509475</v>
      </c>
      <c r="I19" s="8">
        <f>I18</f>
        <v>487420833.296028</v>
      </c>
      <c r="J19" s="8">
        <f>J18</f>
        <v>537032793.475216</v>
      </c>
      <c r="K19" s="8">
        <f>K18</f>
        <v>590033664.703989</v>
      </c>
      <c r="L19" s="8">
        <f>L18</f>
        <v>646675755.885306</v>
      </c>
      <c r="M19" s="8">
        <f>M18</f>
        <v>707075899.747021</v>
      </c>
      <c r="N19" s="8">
        <f>N18</f>
        <v>769648062.817101</v>
      </c>
    </row>
    <row r="20" ht="20.05" customHeight="1">
      <c r="A20" s="6"/>
      <c r="B20" s="6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20.05" customHeight="1">
      <c r="A21" s="6"/>
      <c r="B21" s="6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</sheetData>
  <conditionalFormatting sqref="C1:N1 E3:N3 C4:N21">
    <cfRule type="cellIs" dxfId="0" priority="1" operator="lessThan" stopIfTrue="1">
      <formula>0</formula>
    </cfRule>
  </conditionalFormatting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N15"/>
  <sheetViews>
    <sheetView workbookViewId="0" showGridLines="0" defaultGridColor="1"/>
  </sheetViews>
  <sheetFormatPr defaultColWidth="16.3333" defaultRowHeight="19.9" customHeight="1" outlineLevelRow="0" outlineLevelCol="0"/>
  <cols>
    <col min="1" max="1" width="49.8516" style="9" customWidth="1"/>
    <col min="2" max="14" width="16.3516" style="9" customWidth="1"/>
    <col min="15" max="16384" width="16.3516" style="9" customWidth="1"/>
  </cols>
  <sheetData>
    <row r="1" ht="20.05" customHeight="1">
      <c r="A1" t="s" s="2">
        <v>31</v>
      </c>
      <c r="B1" s="6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ht="20.05" customHeight="1">
      <c r="A2" s="3"/>
      <c r="B2" s="6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ht="20.05" customHeight="1">
      <c r="A3" t="s" s="5">
        <v>1</v>
      </c>
      <c r="B3" t="s" s="5">
        <v>2</v>
      </c>
      <c r="C3" t="s" s="5">
        <v>3</v>
      </c>
      <c r="D3" t="s" s="5">
        <v>4</v>
      </c>
      <c r="E3" t="s" s="5">
        <v>5</v>
      </c>
      <c r="F3" t="s" s="5">
        <v>6</v>
      </c>
      <c r="G3" t="s" s="5">
        <v>7</v>
      </c>
      <c r="H3" t="s" s="5">
        <v>8</v>
      </c>
      <c r="I3" t="s" s="5">
        <v>9</v>
      </c>
      <c r="J3" t="s" s="5">
        <v>10</v>
      </c>
      <c r="K3" t="s" s="5">
        <v>11</v>
      </c>
      <c r="L3" t="s" s="5">
        <v>12</v>
      </c>
      <c r="M3" t="s" s="5">
        <v>13</v>
      </c>
      <c r="N3" t="s" s="5">
        <v>14</v>
      </c>
    </row>
    <row r="4" ht="20.05" customHeight="1">
      <c r="A4" t="s" s="5">
        <v>32</v>
      </c>
      <c r="B4" s="6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ht="20.05" customHeight="1">
      <c r="A5" t="s" s="7">
        <v>33</v>
      </c>
      <c r="B5" t="s" s="7">
        <v>18</v>
      </c>
      <c r="C5" s="10">
        <f>'ASSUMPTIONS_DATA'!D14</f>
        <v>61480000</v>
      </c>
      <c r="D5" s="10">
        <f>'ASSUMPTIONS_DATA'!E14</f>
        <v>54980000</v>
      </c>
      <c r="E5" s="10">
        <f>'ASSUMPTIONS_DATA'!F14</f>
        <v>49980000</v>
      </c>
      <c r="F5" s="10">
        <f>'ASSUMPTIONS_DATA'!G14</f>
        <v>49980000</v>
      </c>
      <c r="G5" s="10">
        <f>'ASSUMPTIONS_DATA'!H14</f>
        <v>49980000</v>
      </c>
      <c r="H5" s="10">
        <f>'ASSUMPTIONS_DATA'!I14</f>
        <v>49980000</v>
      </c>
      <c r="I5" s="10">
        <f>'ASSUMPTIONS_DATA'!J14</f>
        <v>50120000</v>
      </c>
      <c r="J5" s="10">
        <f>'ASSUMPTIONS_DATA'!K14</f>
        <v>0</v>
      </c>
      <c r="K5" s="10">
        <f>'ASSUMPTIONS_DATA'!L14</f>
        <v>0</v>
      </c>
      <c r="L5" s="10">
        <f>'ASSUMPTIONS_DATA'!M14</f>
        <v>0</v>
      </c>
      <c r="M5" s="10">
        <f>'ASSUMPTIONS_DATA'!N14</f>
        <v>0</v>
      </c>
      <c r="N5" s="10">
        <v>0</v>
      </c>
    </row>
    <row r="6" ht="20.05" customHeight="1">
      <c r="A6" t="s" s="5">
        <v>34</v>
      </c>
      <c r="B6" t="s" s="5">
        <v>18</v>
      </c>
      <c r="C6" s="11">
        <f>C5</f>
        <v>61480000</v>
      </c>
      <c r="D6" s="11">
        <f>D5+C6</f>
        <v>116460000</v>
      </c>
      <c r="E6" s="11">
        <f>E5+D6</f>
        <v>166440000</v>
      </c>
      <c r="F6" s="11">
        <f>F5+E6</f>
        <v>216420000</v>
      </c>
      <c r="G6" s="11">
        <f>G5+F6</f>
        <v>266400000</v>
      </c>
      <c r="H6" s="11">
        <f>H5+G6</f>
        <v>316380000</v>
      </c>
      <c r="I6" s="11">
        <f>I5+H6</f>
        <v>366500000</v>
      </c>
      <c r="J6" s="11">
        <f>J5+I6</f>
        <v>366500000</v>
      </c>
      <c r="K6" s="11">
        <f>K5+J6</f>
        <v>366500000</v>
      </c>
      <c r="L6" s="11">
        <f>L5+K6</f>
        <v>366500000</v>
      </c>
      <c r="M6" s="11">
        <f>M5+L6</f>
        <v>366500000</v>
      </c>
      <c r="N6" s="11">
        <f>N5+M6</f>
        <v>366500000</v>
      </c>
    </row>
    <row r="7" ht="20.05" customHeight="1">
      <c r="A7" s="6"/>
      <c r="B7" s="6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ht="20.05" customHeight="1">
      <c r="A8" t="s" s="5">
        <v>35</v>
      </c>
      <c r="B8" s="3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ht="32.05" customHeight="1">
      <c r="A9" t="s" s="7">
        <v>21</v>
      </c>
      <c r="B9" t="s" s="7">
        <v>18</v>
      </c>
      <c r="C9" s="10">
        <f>'CAPEX &amp; DEPRECIATION'!E3</f>
        <v>0</v>
      </c>
      <c r="D9" s="10">
        <f>'CAPEX &amp; DEPRECIATION'!F3</f>
        <v>49980000</v>
      </c>
      <c r="E9" s="10">
        <f>'CAPEX &amp; DEPRECIATION'!G3</f>
        <v>49980000</v>
      </c>
      <c r="F9" s="10">
        <f>'CAPEX &amp; DEPRECIATION'!H3</f>
        <v>49980000</v>
      </c>
      <c r="G9" s="10">
        <f>'CAPEX &amp; DEPRECIATION'!I3</f>
        <v>49980000</v>
      </c>
      <c r="H9" s="10">
        <f>'CAPEX &amp; DEPRECIATION'!J3</f>
        <v>49980000</v>
      </c>
      <c r="I9" s="10">
        <f>'CAPEX &amp; DEPRECIATION'!K3</f>
        <v>49980000</v>
      </c>
      <c r="J9" s="10">
        <f>'CAPEX &amp; DEPRECIATION'!L3</f>
        <v>50120000</v>
      </c>
      <c r="K9" s="10">
        <f>'CAPEX &amp; DEPRECIATION'!M3</f>
        <v>0</v>
      </c>
      <c r="L9" s="10">
        <f>'CAPEX &amp; DEPRECIATION'!N3</f>
        <v>0</v>
      </c>
      <c r="M9" s="10">
        <f>'CAPEX &amp; DEPRECIATION'!O3</f>
        <v>0</v>
      </c>
      <c r="N9" s="10">
        <f>'CAPEX &amp; DEPRECIATION'!P3</f>
        <v>0</v>
      </c>
    </row>
    <row r="10" ht="20.05" customHeight="1">
      <c r="A10" t="s" s="7">
        <v>22</v>
      </c>
      <c r="B10" t="s" s="7">
        <v>18</v>
      </c>
      <c r="C10" s="10">
        <f>'CAPEX &amp; DEPRECIATION'!E4</f>
        <v>0</v>
      </c>
      <c r="D10" s="10">
        <f>'CAPEX &amp; DEPRECIATION'!F4</f>
        <v>1000000</v>
      </c>
      <c r="E10" s="10">
        <f>'CAPEX &amp; DEPRECIATION'!G4</f>
        <v>0</v>
      </c>
      <c r="F10" s="10">
        <f>'CAPEX &amp; DEPRECIATION'!H4</f>
        <v>0</v>
      </c>
      <c r="G10" s="10">
        <f>'CAPEX &amp; DEPRECIATION'!I4</f>
        <v>0</v>
      </c>
      <c r="H10" s="10">
        <f>'CAPEX &amp; DEPRECIATION'!J4</f>
        <v>0</v>
      </c>
      <c r="I10" s="10">
        <f>'CAPEX &amp; DEPRECIATION'!K4</f>
        <v>0</v>
      </c>
      <c r="J10" s="10">
        <f>'CAPEX &amp; DEPRECIATION'!L4</f>
        <v>0</v>
      </c>
      <c r="K10" s="10">
        <f>'CAPEX &amp; DEPRECIATION'!M4</f>
        <v>0</v>
      </c>
      <c r="L10" s="10">
        <f>'CAPEX &amp; DEPRECIATION'!N4</f>
        <v>0</v>
      </c>
      <c r="M10" s="10">
        <f>'CAPEX &amp; DEPRECIATION'!O4</f>
        <v>0</v>
      </c>
      <c r="N10" s="10">
        <f>'CAPEX &amp; DEPRECIATION'!P4</f>
        <v>0</v>
      </c>
    </row>
    <row r="11" ht="20.05" customHeight="1">
      <c r="A11" t="s" s="7">
        <v>23</v>
      </c>
      <c r="B11" t="s" s="7">
        <v>18</v>
      </c>
      <c r="C11" s="10">
        <f>'CAPEX &amp; DEPRECIATION'!E5</f>
        <v>0</v>
      </c>
      <c r="D11" s="10">
        <f>'CAPEX &amp; DEPRECIATION'!F5</f>
        <v>500000</v>
      </c>
      <c r="E11" s="10">
        <f>'CAPEX &amp; DEPRECIATION'!G5</f>
        <v>0</v>
      </c>
      <c r="F11" s="10">
        <f>'CAPEX &amp; DEPRECIATION'!H5</f>
        <v>0</v>
      </c>
      <c r="G11" s="10">
        <f>'CAPEX &amp; DEPRECIATION'!I5</f>
        <v>0</v>
      </c>
      <c r="H11" s="10">
        <f>'CAPEX &amp; DEPRECIATION'!J5</f>
        <v>0</v>
      </c>
      <c r="I11" s="10">
        <f>'CAPEX &amp; DEPRECIATION'!K5</f>
        <v>0</v>
      </c>
      <c r="J11" s="10">
        <f>'CAPEX &amp; DEPRECIATION'!L5</f>
        <v>0</v>
      </c>
      <c r="K11" s="10">
        <f>'CAPEX &amp; DEPRECIATION'!M5</f>
        <v>0</v>
      </c>
      <c r="L11" s="10">
        <f>'CAPEX &amp; DEPRECIATION'!N5</f>
        <v>0</v>
      </c>
      <c r="M11" s="10">
        <f>'CAPEX &amp; DEPRECIATION'!O5</f>
        <v>0</v>
      </c>
      <c r="N11" s="10">
        <f>'CAPEX &amp; DEPRECIATION'!P5</f>
        <v>0</v>
      </c>
    </row>
    <row r="12" ht="20.05" customHeight="1">
      <c r="A12" t="s" s="7">
        <f>'ASSUMPTIONS_DATA'!A12</f>
        <v>36</v>
      </c>
      <c r="B12" t="s" s="7">
        <v>18</v>
      </c>
      <c r="C12" s="10">
        <v>0</v>
      </c>
      <c r="D12" s="10">
        <f>'ASSUMPTIONS_DATA'!D12</f>
        <v>5000000</v>
      </c>
      <c r="E12" s="10">
        <f>'ASSUMPTIONS_DATA'!E12</f>
        <v>5000000</v>
      </c>
      <c r="F12" s="10">
        <f>'ASSUMPTIONS_DATA'!G12</f>
        <v>0</v>
      </c>
      <c r="G12" s="10">
        <f>'ASSUMPTIONS_DATA'!H12</f>
        <v>0</v>
      </c>
      <c r="H12" s="10">
        <f>'ASSUMPTIONS_DATA'!I12</f>
        <v>0</v>
      </c>
      <c r="I12" s="10">
        <f>'ASSUMPTIONS_DATA'!J12</f>
        <v>0</v>
      </c>
      <c r="J12" s="10">
        <f>'ASSUMPTIONS_DATA'!K12</f>
        <v>0</v>
      </c>
      <c r="K12" s="10">
        <f>'ASSUMPTIONS_DATA'!L12</f>
        <v>0</v>
      </c>
      <c r="L12" s="10">
        <f>'ASSUMPTIONS_DATA'!M12</f>
        <v>0</v>
      </c>
      <c r="M12" s="10">
        <f>'ASSUMPTIONS_DATA'!N12</f>
        <v>0</v>
      </c>
      <c r="N12" s="10">
        <v>0</v>
      </c>
    </row>
    <row r="13" ht="20.05" customHeight="1">
      <c r="A13" t="s" s="7">
        <v>37</v>
      </c>
      <c r="B13" t="s" s="7">
        <v>18</v>
      </c>
      <c r="C13" s="10">
        <v>0</v>
      </c>
      <c r="D13" s="10">
        <f>'ASSUMPTIONS_DATA'!D13</f>
        <v>5000000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</row>
    <row r="14" ht="20.05" customHeight="1">
      <c r="A14" t="s" s="5">
        <v>38</v>
      </c>
      <c r="B14" t="s" s="5">
        <v>18</v>
      </c>
      <c r="C14" s="11">
        <f>SUM(C9:C13)</f>
        <v>0</v>
      </c>
      <c r="D14" s="11">
        <f>SUM(D9:D13)</f>
        <v>61480000</v>
      </c>
      <c r="E14" s="11">
        <f>SUM(E9:E13)</f>
        <v>54980000</v>
      </c>
      <c r="F14" s="11">
        <f>SUM(F9:F13)</f>
        <v>49980000</v>
      </c>
      <c r="G14" s="11">
        <f>SUM(G9:G13)</f>
        <v>49980000</v>
      </c>
      <c r="H14" s="11">
        <f>SUM(H9:H13)</f>
        <v>49980000</v>
      </c>
      <c r="I14" s="11">
        <f>SUM(I9:I13)</f>
        <v>49980000</v>
      </c>
      <c r="J14" s="11">
        <f>SUM(J9:J13)</f>
        <v>50120000</v>
      </c>
      <c r="K14" s="11">
        <f>SUM(K9:K13)</f>
        <v>0</v>
      </c>
      <c r="L14" s="11">
        <f>SUM(L9:L13)</f>
        <v>0</v>
      </c>
      <c r="M14" s="11">
        <f>SUM(M9:M13)</f>
        <v>0</v>
      </c>
      <c r="N14" s="11">
        <f>SUM(N9:N13)</f>
        <v>0</v>
      </c>
    </row>
    <row r="15" ht="20.05" customHeight="1">
      <c r="A15" s="6"/>
      <c r="B15" s="6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1"/>
  <sheetViews>
    <sheetView workbookViewId="0" showGridLines="0" defaultGridColor="1"/>
  </sheetViews>
  <sheetFormatPr defaultColWidth="16.3333" defaultRowHeight="19.9" customHeight="1" outlineLevelRow="0" outlineLevelCol="0"/>
  <cols>
    <col min="1" max="1" width="40.3516" style="12" customWidth="1"/>
    <col min="2" max="2" width="8.85156" style="12" customWidth="1"/>
    <col min="3" max="8" width="16.1719" style="12" customWidth="1"/>
    <col min="9" max="16384" width="16.3516" style="12" customWidth="1"/>
  </cols>
  <sheetData>
    <row r="1" ht="20.05" customHeight="1">
      <c r="A1" t="s" s="2">
        <v>0</v>
      </c>
      <c r="B1" s="3"/>
      <c r="C1" s="4"/>
      <c r="D1" s="4"/>
      <c r="E1" s="4"/>
      <c r="F1" s="4"/>
      <c r="G1" s="4"/>
      <c r="H1" s="4"/>
    </row>
    <row r="2" ht="20.05" customHeight="1">
      <c r="A2" t="s" s="5">
        <v>39</v>
      </c>
      <c r="B2" t="s" s="5">
        <v>2</v>
      </c>
      <c r="C2" t="s" s="5">
        <v>5</v>
      </c>
      <c r="D2" t="s" s="5">
        <v>7</v>
      </c>
      <c r="E2" t="s" s="5">
        <v>10</v>
      </c>
      <c r="F2" t="s" s="5">
        <v>12</v>
      </c>
      <c r="G2" t="s" s="5">
        <v>13</v>
      </c>
      <c r="H2" t="s" s="5">
        <v>14</v>
      </c>
    </row>
    <row r="3" ht="20.05" customHeight="1">
      <c r="A3" t="s" s="7">
        <v>40</v>
      </c>
      <c r="B3" t="s" s="7">
        <v>18</v>
      </c>
      <c r="C3" s="4">
        <f>'INCOME STATEMENT '!E9</f>
        <v>13842866.1290324</v>
      </c>
      <c r="D3" s="4">
        <f>'INCOME STATEMENT '!G9</f>
        <v>33334372.8870966</v>
      </c>
      <c r="E3" s="4">
        <f>'INCOME STATEMENT '!J9</f>
        <v>82878011.2197582</v>
      </c>
      <c r="F3" s="4">
        <f>'INCOME STATEMENT '!L9</f>
        <v>96848511.975908</v>
      </c>
      <c r="G3" s="4">
        <f>'INCOME STATEMENT '!M9</f>
        <v>104383454.693497</v>
      </c>
      <c r="H3" s="4">
        <f>'INCOME STATEMENT '!N9</f>
        <v>112241909.986847</v>
      </c>
    </row>
    <row r="4" ht="20.05" customHeight="1">
      <c r="A4" t="s" s="7">
        <v>41</v>
      </c>
      <c r="B4" s="6"/>
      <c r="C4" s="4">
        <v>2</v>
      </c>
      <c r="D4" s="4">
        <v>4</v>
      </c>
      <c r="E4" s="4">
        <v>5</v>
      </c>
      <c r="F4" s="4">
        <v>5</v>
      </c>
      <c r="G4" s="4">
        <v>8</v>
      </c>
      <c r="H4" s="4">
        <v>8</v>
      </c>
    </row>
    <row r="5" ht="20.05" customHeight="1">
      <c r="A5" t="s" s="7">
        <v>42</v>
      </c>
      <c r="B5" t="s" s="7">
        <v>18</v>
      </c>
      <c r="C5" s="4">
        <f>C3*C4</f>
        <v>27685732.2580648</v>
      </c>
      <c r="D5" s="4">
        <f>D3*D4</f>
        <v>133337491.548386</v>
      </c>
      <c r="E5" s="4">
        <f>E3*E4</f>
        <v>414390056.098791</v>
      </c>
      <c r="F5" s="4">
        <f>F3*F4</f>
        <v>484242559.87954</v>
      </c>
      <c r="G5" s="4">
        <f>G3*G4</f>
        <v>835067637.547976</v>
      </c>
      <c r="H5" s="4">
        <f>H3*H4</f>
        <v>897935279.894776</v>
      </c>
    </row>
    <row r="6" ht="20.1" customHeight="1">
      <c r="A6" t="s" s="7">
        <v>43</v>
      </c>
      <c r="B6" t="s" s="7">
        <v>18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ht="20.05" customHeight="1">
      <c r="A7" t="s" s="7">
        <v>44</v>
      </c>
      <c r="B7" t="s" s="7">
        <v>18</v>
      </c>
      <c r="C7" s="4">
        <f>C5-C6</f>
        <v>27685732.2580648</v>
      </c>
      <c r="D7" s="4">
        <f>D5-D6</f>
        <v>133337491.548386</v>
      </c>
      <c r="E7" s="4">
        <f>E5-E6</f>
        <v>414390056.098791</v>
      </c>
      <c r="F7" s="4">
        <f>F5-F6</f>
        <v>484242559.87954</v>
      </c>
      <c r="G7" s="4">
        <f>G5-G6</f>
        <v>835067637.547976</v>
      </c>
      <c r="H7" s="4">
        <f>H5-H6</f>
        <v>897935279.894776</v>
      </c>
    </row>
    <row r="8" ht="20.05" customHeight="1">
      <c r="A8" t="s" s="5">
        <v>45</v>
      </c>
      <c r="B8" t="s" s="5">
        <v>18</v>
      </c>
      <c r="C8" s="8">
        <f>C7*0.25</f>
        <v>6921433.0645162</v>
      </c>
      <c r="D8" s="8">
        <f>D7*0.25</f>
        <v>33334372.8870965</v>
      </c>
      <c r="E8" s="8">
        <f>E7*0.25</f>
        <v>103597514.024698</v>
      </c>
      <c r="F8" s="8">
        <f>F7*0.25</f>
        <v>121060639.969885</v>
      </c>
      <c r="G8" s="8">
        <f>G7*0.25</f>
        <v>208766909.386994</v>
      </c>
      <c r="H8" s="8">
        <f>H7*0.25</f>
        <v>224483819.973694</v>
      </c>
    </row>
    <row r="9" ht="20.05" customHeight="1">
      <c r="A9" t="s" s="5">
        <v>46</v>
      </c>
      <c r="B9" s="3"/>
      <c r="C9" s="8">
        <f>C8/'SOURCE_USE OF FUNDS'!E6</f>
        <v>0.0415851541968049</v>
      </c>
      <c r="D9" s="8">
        <f>D8/'SOURCE_USE OF FUNDS'!G6</f>
        <v>0.125129027353966</v>
      </c>
      <c r="E9" s="8">
        <f>E8/'SOURCE_USE OF FUNDS'!J6</f>
        <v>0.282667159685397</v>
      </c>
      <c r="F9" s="8">
        <f>F8/'SOURCE_USE OF FUNDS'!L6</f>
        <v>0.330315525156576</v>
      </c>
      <c r="G9" s="8">
        <f>G8/'SOURCE_USE OF FUNDS'!M6</f>
        <v>0.569623217972698</v>
      </c>
      <c r="H9" s="8">
        <f>H8/'SOURCE_USE OF FUNDS'!N6</f>
        <v>0.612507012206532</v>
      </c>
    </row>
    <row r="10" ht="20.05" customHeight="1">
      <c r="A10" s="6"/>
      <c r="B10" s="6"/>
      <c r="C10" s="13"/>
      <c r="D10" s="13"/>
      <c r="E10" s="13"/>
      <c r="F10" s="13"/>
      <c r="G10" s="13"/>
      <c r="H10" s="13"/>
    </row>
    <row r="11" ht="20.05" customHeight="1">
      <c r="A11" t="s" s="5">
        <v>47</v>
      </c>
      <c r="B11" t="s" s="5">
        <v>48</v>
      </c>
      <c r="C11" s="8"/>
      <c r="D11" s="8"/>
      <c r="E11" s="8"/>
      <c r="F11" s="8"/>
      <c r="G11" s="13">
        <f>'INCOME STATEMENT '!D21</f>
        <v>0.165670780707392</v>
      </c>
      <c r="H11" s="13"/>
    </row>
  </sheetData>
  <conditionalFormatting sqref="C1:H1 C3:H11">
    <cfRule type="cellIs" dxfId="1" priority="1" operator="lessThan" stopIfTrue="1">
      <formula>0</formula>
    </cfRule>
  </conditionalFormatting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10"/>
  <sheetViews>
    <sheetView workbookViewId="0" showGridLines="0" defaultGridColor="1"/>
  </sheetViews>
  <sheetFormatPr defaultColWidth="16.3333" defaultRowHeight="19.9" customHeight="1" outlineLevelRow="0" outlineLevelCol="0"/>
  <cols>
    <col min="1" max="1" width="26.1719" style="14" customWidth="1"/>
    <col min="2" max="2" width="8.85156" style="14" customWidth="1"/>
    <col min="3" max="13" width="13.1719" style="14" customWidth="1"/>
    <col min="14" max="16384" width="16.3516" style="14" customWidth="1"/>
  </cols>
  <sheetData>
    <row r="1" ht="20.05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20.05" customHeight="1">
      <c r="A2" t="s" s="5">
        <v>1</v>
      </c>
      <c r="B2" t="s" s="5">
        <v>2</v>
      </c>
      <c r="C2" t="s" s="5">
        <v>4</v>
      </c>
      <c r="D2" t="s" s="5">
        <v>5</v>
      </c>
      <c r="E2" t="s" s="5">
        <v>6</v>
      </c>
      <c r="F2" t="s" s="5">
        <v>7</v>
      </c>
      <c r="G2" t="s" s="5">
        <v>8</v>
      </c>
      <c r="H2" t="s" s="5">
        <v>9</v>
      </c>
      <c r="I2" t="s" s="5">
        <v>10</v>
      </c>
      <c r="J2" t="s" s="5">
        <v>11</v>
      </c>
      <c r="K2" t="s" s="5">
        <v>12</v>
      </c>
      <c r="L2" t="s" s="5">
        <v>13</v>
      </c>
      <c r="M2" t="s" s="5">
        <v>14</v>
      </c>
    </row>
    <row r="3" ht="20.05" customHeight="1">
      <c r="A3" t="s" s="7">
        <v>49</v>
      </c>
      <c r="B3" t="s" s="7">
        <v>48</v>
      </c>
      <c r="C3" s="15">
        <f>'INCOME STATEMENT '!D9/'INCOME STATEMENT '!D3</f>
        <v>0.149282617337363</v>
      </c>
      <c r="D3" s="15">
        <f>'INCOME STATEMENT '!E9/'INCOME STATEMENT '!E3</f>
        <v>0.188911142014563</v>
      </c>
      <c r="E3" s="15">
        <f>'INCOME STATEMENT '!F9/'INCOME STATEMENT '!F3</f>
        <v>0.185587178451455</v>
      </c>
      <c r="F3" s="15">
        <f>'INCOME STATEMENT '!G9/'INCOME STATEMENT '!G3</f>
        <v>0.196929992261787</v>
      </c>
      <c r="G3" s="15">
        <f>'INCOME STATEMENT '!H9/'INCOME STATEMENT '!H3</f>
        <v>0.203426331080432</v>
      </c>
      <c r="H3" s="15">
        <f>'INCOME STATEMENT '!I9/'INCOME STATEMENT '!I3</f>
        <v>0.207475996837514</v>
      </c>
      <c r="I3" s="15">
        <f>'INCOME STATEMENT '!J9/'INCOME STATEMENT '!J3</f>
        <v>0.210120796728318</v>
      </c>
      <c r="J3" s="15">
        <f>'INCOME STATEMENT '!K9/'INCOME STATEMENT '!K3</f>
        <v>0.206679718757411</v>
      </c>
      <c r="K3" s="15">
        <f>'INCOME STATEMENT '!L9/'INCOME STATEMENT '!L3</f>
        <v>0.202925815516422</v>
      </c>
      <c r="L3" s="15">
        <f>'INCOME STATEMENT '!M9/'INCOME STATEMENT '!M3</f>
        <v>0.19883064834443</v>
      </c>
      <c r="M3" s="15">
        <f>'INCOME STATEMENT '!N9/'INCOME STATEMENT '!N3</f>
        <v>0.194363193247716</v>
      </c>
    </row>
    <row r="4" ht="20.05" customHeight="1">
      <c r="A4" t="s" s="7">
        <v>50</v>
      </c>
      <c r="B4" t="s" s="7">
        <v>48</v>
      </c>
      <c r="C4" s="16">
        <f>'INCOME STATEMENT '!D14/'INCOME STATEMENT '!D3</f>
        <v>0.0341445026855615</v>
      </c>
      <c r="D4" s="16">
        <f>'INCOME STATEMENT '!E14/'INCOME STATEMENT '!E3</f>
        <v>0.0669063643058997</v>
      </c>
      <c r="E4" s="16">
        <f>'INCOME STATEMENT '!F14/'INCOME STATEMENT '!F3</f>
        <v>0.0682213203090815</v>
      </c>
      <c r="F4" s="16">
        <f>'INCOME STATEMENT '!G14/'INCOME STATEMENT '!G3</f>
        <v>0.0820106766579011</v>
      </c>
      <c r="G4" s="16">
        <f>'INCOME STATEMENT '!H14/'INCOME STATEMENT '!H3</f>
        <v>0.09176608730634141</v>
      </c>
      <c r="H4" s="16">
        <f>'INCOME STATEMENT '!I14/'INCOME STATEMENT '!I3</f>
        <v>0.0992835397630947</v>
      </c>
      <c r="I4" s="16">
        <f>'INCOME STATEMENT '!J14/'INCOME STATEMENT '!J3</f>
        <v>0.105364048735977</v>
      </c>
      <c r="J4" s="16">
        <f>'INCOME STATEMENT '!K14/'INCOME STATEMENT '!K3</f>
        <v>0.106748067699419</v>
      </c>
      <c r="K4" s="16">
        <f>'INCOME STATEMENT '!L14/'INCOME STATEMENT '!L3</f>
        <v>0.107751649341487</v>
      </c>
      <c r="L4" s="16">
        <f>'INCOME STATEMENT '!M14/'INCOME STATEMENT '!M3</f>
        <v>0.108002888822912</v>
      </c>
      <c r="M4" s="16">
        <f>'INCOME STATEMENT '!N14/'INCOME STATEMENT '!N3</f>
        <v>0.103463275527671</v>
      </c>
    </row>
    <row r="5" ht="20.05" customHeight="1">
      <c r="A5" t="s" s="7">
        <v>51</v>
      </c>
      <c r="B5" t="s" s="7">
        <v>48</v>
      </c>
      <c r="C5" s="16">
        <f>'INCOME STATEMENT '!D14/'BALANCE SHEET'!D16</f>
        <v>0.0102304127680551</v>
      </c>
      <c r="D5" s="16">
        <f>'INCOME STATEMENT '!E14/'BALANCE SHEET'!E16</f>
        <v>0.0294562983076345</v>
      </c>
      <c r="E5" s="16">
        <f>'INCOME STATEMENT '!F14/'BALANCE SHEET'!F16</f>
        <v>0.0363807569697226</v>
      </c>
      <c r="F5" s="16">
        <f>'INCOME STATEMENT '!G14/'BALANCE SHEET'!G16</f>
        <v>0.0521094632919204</v>
      </c>
      <c r="G5" s="16">
        <f>'INCOME STATEMENT '!H14/'BALANCE SHEET'!H16</f>
        <v>0.0675081670896716</v>
      </c>
      <c r="H5" s="16">
        <f>'INCOME STATEMENT '!I14/'BALANCE SHEET'!I16</f>
        <v>0.0832262503494038</v>
      </c>
      <c r="I5" s="16">
        <f>'INCOME STATEMENT '!J14/'BALANCE SHEET'!J16</f>
        <v>0.113393654899038</v>
      </c>
      <c r="J5" s="16">
        <f>'INCOME STATEMENT '!K14/'BALANCE SHEET'!K16</f>
        <v>0.126371462226141</v>
      </c>
      <c r="K5" s="16">
        <f>'INCOME STATEMENT '!L14/'BALANCE SHEET'!L16</f>
        <v>0.140315484446937</v>
      </c>
      <c r="L5" s="16">
        <f>'INCOME STATEMENT '!M14/'BALANCE SHEET'!M16</f>
        <v>0.154706916649699</v>
      </c>
      <c r="M5" s="16"/>
    </row>
    <row r="6" ht="14.7" customHeight="1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9"/>
    </row>
    <row r="7" ht="14.7" customHeight="1">
      <c r="A7" s="20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2"/>
    </row>
    <row r="8" ht="14.7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</row>
    <row r="9" ht="14.7" customHeight="1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</row>
    <row r="10" ht="14.7" customHeight="1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5"/>
    </row>
  </sheetData>
  <conditionalFormatting sqref="C1:M1 C4:M5">
    <cfRule type="cellIs" dxfId="2" priority="1" operator="lessThan" stopIfTrue="1">
      <formula>0</formula>
    </cfRule>
  </conditionalFormatting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N48"/>
  <sheetViews>
    <sheetView workbookViewId="0" showGridLines="0" defaultGridColor="1"/>
  </sheetViews>
  <sheetFormatPr defaultColWidth="16.3333" defaultRowHeight="19.9" customHeight="1" outlineLevelRow="0" outlineLevelCol="0"/>
  <cols>
    <col min="1" max="1" width="56.8672" style="26" customWidth="1"/>
    <col min="2" max="2" width="15.8516" style="26" customWidth="1"/>
    <col min="3" max="14" width="16.3516" style="26" customWidth="1"/>
    <col min="15" max="16384" width="16.3516" style="26" customWidth="1"/>
  </cols>
  <sheetData>
    <row r="1" ht="20.05" customHeight="1">
      <c r="A1" t="s" s="2">
        <v>52</v>
      </c>
      <c r="B1" s="3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ht="20.05" customHeight="1">
      <c r="A2" t="s" s="5">
        <v>1</v>
      </c>
      <c r="B2" t="s" s="5">
        <v>2</v>
      </c>
      <c r="C2" t="s" s="5">
        <v>53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5">
        <v>13</v>
      </c>
      <c r="N2" t="s" s="27">
        <v>14</v>
      </c>
    </row>
    <row r="3" ht="20.05" customHeight="1">
      <c r="A3" t="s" s="7">
        <v>54</v>
      </c>
      <c r="B3" t="s" s="7">
        <v>55</v>
      </c>
      <c r="C3" s="28">
        <f>SUM(D3:J3)</f>
        <v>5000</v>
      </c>
      <c r="D3" s="28">
        <v>714</v>
      </c>
      <c r="E3" s="28">
        <v>714</v>
      </c>
      <c r="F3" s="28">
        <v>714</v>
      </c>
      <c r="G3" s="28">
        <v>714</v>
      </c>
      <c r="H3" s="28">
        <v>714</v>
      </c>
      <c r="I3" s="28">
        <v>714</v>
      </c>
      <c r="J3" s="28">
        <v>716</v>
      </c>
      <c r="K3" s="10"/>
      <c r="L3" s="10"/>
      <c r="M3" s="10"/>
      <c r="N3" s="10"/>
    </row>
    <row r="4" ht="20.05" customHeight="1">
      <c r="A4" t="s" s="7">
        <v>56</v>
      </c>
      <c r="B4" t="s" s="7">
        <v>55</v>
      </c>
      <c r="C4" s="28">
        <v>1</v>
      </c>
      <c r="D4" s="28"/>
      <c r="E4" s="28"/>
      <c r="F4" s="28"/>
      <c r="G4" s="28"/>
      <c r="H4" s="28"/>
      <c r="I4" s="28"/>
      <c r="J4" s="28"/>
      <c r="K4" s="10"/>
      <c r="L4" s="10"/>
      <c r="M4" s="10"/>
      <c r="N4" s="10"/>
    </row>
    <row r="5" ht="20.05" customHeight="1">
      <c r="A5" t="s" s="7">
        <v>57</v>
      </c>
      <c r="B5" t="s" s="7">
        <v>55</v>
      </c>
      <c r="C5" s="28">
        <f>C3</f>
        <v>5000</v>
      </c>
      <c r="D5" s="28">
        <f>D3</f>
        <v>714</v>
      </c>
      <c r="E5" s="28">
        <f>E3</f>
        <v>714</v>
      </c>
      <c r="F5" s="28">
        <f>F3</f>
        <v>714</v>
      </c>
      <c r="G5" s="28">
        <f>G3</f>
        <v>714</v>
      </c>
      <c r="H5" s="28">
        <f>H3</f>
        <v>714</v>
      </c>
      <c r="I5" s="28">
        <f>I3</f>
        <v>714</v>
      </c>
      <c r="J5" s="28">
        <f>J3</f>
        <v>716</v>
      </c>
      <c r="K5" s="10"/>
      <c r="L5" s="10"/>
      <c r="M5" s="10"/>
      <c r="N5" s="10"/>
    </row>
    <row r="6" ht="20.05" customHeight="1">
      <c r="A6" t="s" s="7">
        <v>58</v>
      </c>
      <c r="B6" t="s" s="7">
        <v>55</v>
      </c>
      <c r="C6" s="28">
        <v>7</v>
      </c>
      <c r="D6" s="28"/>
      <c r="E6" s="28"/>
      <c r="F6" s="28"/>
      <c r="G6" s="28"/>
      <c r="H6" s="28"/>
      <c r="I6" s="28"/>
      <c r="J6" s="28"/>
      <c r="K6" s="10"/>
      <c r="L6" s="10"/>
      <c r="M6" s="10"/>
      <c r="N6" s="10"/>
    </row>
    <row r="7" ht="20.05" customHeight="1">
      <c r="A7" s="7"/>
      <c r="B7" s="7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ht="20.05" customHeight="1">
      <c r="A8" t="s" s="7">
        <v>59</v>
      </c>
      <c r="B8" t="s" s="7">
        <v>18</v>
      </c>
      <c r="C8" s="10">
        <v>70000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ht="20.05" customHeight="1">
      <c r="A9" t="s" s="7">
        <v>60</v>
      </c>
      <c r="B9" t="s" s="7">
        <v>18</v>
      </c>
      <c r="C9" s="10">
        <f>$C$8*C3</f>
        <v>350000000</v>
      </c>
      <c r="D9" s="10">
        <f>$C$8*D3</f>
        <v>49980000</v>
      </c>
      <c r="E9" s="10">
        <f>$C$8*E3</f>
        <v>49980000</v>
      </c>
      <c r="F9" s="10">
        <f>$C$8*F3</f>
        <v>49980000</v>
      </c>
      <c r="G9" s="10">
        <f>$C$8*G3</f>
        <v>49980000</v>
      </c>
      <c r="H9" s="10">
        <f>$C$8*H3</f>
        <v>49980000</v>
      </c>
      <c r="I9" s="10">
        <f>$C$8*I3</f>
        <v>49980000</v>
      </c>
      <c r="J9" s="10">
        <f>$C$8*J3</f>
        <v>50120000</v>
      </c>
      <c r="K9" s="10"/>
      <c r="L9" s="10"/>
      <c r="M9" s="10"/>
      <c r="N9" s="10"/>
    </row>
    <row r="10" ht="20.05" customHeight="1">
      <c r="A10" t="s" s="7">
        <v>22</v>
      </c>
      <c r="B10" t="s" s="7">
        <v>18</v>
      </c>
      <c r="C10" s="10">
        <v>1000000</v>
      </c>
      <c r="D10" s="10">
        <v>1000000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ht="20.05" customHeight="1">
      <c r="A11" t="s" s="7">
        <v>23</v>
      </c>
      <c r="B11" t="s" s="7">
        <v>18</v>
      </c>
      <c r="C11" s="10">
        <v>500000</v>
      </c>
      <c r="D11" s="10">
        <v>500000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ht="20.05" customHeight="1">
      <c r="A12" t="s" s="7">
        <v>36</v>
      </c>
      <c r="B12" t="s" s="7">
        <v>18</v>
      </c>
      <c r="C12" s="10">
        <v>10000000</v>
      </c>
      <c r="D12" s="10">
        <f>$C$12/2</f>
        <v>5000000</v>
      </c>
      <c r="E12" s="10">
        <f>$C$12/2</f>
        <v>5000000</v>
      </c>
      <c r="F12" s="10"/>
      <c r="G12" s="10"/>
      <c r="H12" s="10"/>
      <c r="I12" s="10"/>
      <c r="J12" s="10"/>
      <c r="K12" s="10"/>
      <c r="L12" s="10"/>
      <c r="M12" s="10"/>
      <c r="N12" s="10"/>
    </row>
    <row r="13" ht="20.05" customHeight="1">
      <c r="A13" t="s" s="7">
        <v>37</v>
      </c>
      <c r="B13" t="s" s="7">
        <v>18</v>
      </c>
      <c r="C13" s="10">
        <v>5000000</v>
      </c>
      <c r="D13" s="10">
        <v>5000000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ht="20.05" customHeight="1">
      <c r="A14" t="s" s="5">
        <v>61</v>
      </c>
      <c r="B14" t="s" s="5">
        <v>18</v>
      </c>
      <c r="C14" s="11">
        <f>SUM(D14:J14)</f>
        <v>366500000</v>
      </c>
      <c r="D14" s="11">
        <f>SUM(D9:D13)</f>
        <v>61480000</v>
      </c>
      <c r="E14" s="11">
        <f>SUM(E9:E13)</f>
        <v>54980000</v>
      </c>
      <c r="F14" s="11">
        <f>SUM(F9:F13)</f>
        <v>49980000</v>
      </c>
      <c r="G14" s="11">
        <f>SUM(G9:G13)</f>
        <v>49980000</v>
      </c>
      <c r="H14" s="11">
        <f>SUM(H9:H13)</f>
        <v>49980000</v>
      </c>
      <c r="I14" s="11">
        <f>SUM(I9:I13)</f>
        <v>49980000</v>
      </c>
      <c r="J14" s="11">
        <f>SUM(J9:J13)</f>
        <v>50120000</v>
      </c>
      <c r="K14" s="11">
        <f>SUM(K9:K13)</f>
        <v>0</v>
      </c>
      <c r="L14" s="11">
        <f>SUM(L9:L13)</f>
        <v>0</v>
      </c>
      <c r="M14" s="11">
        <f>SUM(M9:M13)</f>
        <v>0</v>
      </c>
      <c r="N14" s="11">
        <f>SUM(N9:N13)</f>
        <v>0</v>
      </c>
    </row>
    <row r="15" ht="20.05" customHeight="1">
      <c r="A15" s="6"/>
      <c r="B15" s="6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ht="20.05" customHeight="1">
      <c r="A16" t="s" s="7">
        <v>62</v>
      </c>
      <c r="B16" t="s" s="7">
        <v>55</v>
      </c>
      <c r="C16" s="10"/>
      <c r="D16" s="10">
        <f>D3</f>
        <v>714</v>
      </c>
      <c r="E16" s="10">
        <f>E3+D16</f>
        <v>1428</v>
      </c>
      <c r="F16" s="10">
        <f>F3+E16</f>
        <v>2142</v>
      </c>
      <c r="G16" s="10">
        <f>G3+F16</f>
        <v>2856</v>
      </c>
      <c r="H16" s="10">
        <f>H3+G16</f>
        <v>3570</v>
      </c>
      <c r="I16" s="10">
        <f>I3+H16</f>
        <v>4284</v>
      </c>
      <c r="J16" s="10">
        <f>J3+I16</f>
        <v>5000</v>
      </c>
      <c r="K16" s="10">
        <f>K3+J16</f>
        <v>5000</v>
      </c>
      <c r="L16" s="10">
        <f>L3+K16</f>
        <v>5000</v>
      </c>
      <c r="M16" s="10">
        <f>M3+L16</f>
        <v>5000</v>
      </c>
      <c r="N16" s="10">
        <f>N3+M16</f>
        <v>5000</v>
      </c>
    </row>
    <row r="17" ht="20.05" customHeight="1">
      <c r="A17" t="s" s="7">
        <v>63</v>
      </c>
      <c r="B17" t="s" s="7">
        <v>64</v>
      </c>
      <c r="C17" s="28">
        <v>60000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ht="20.05" customHeight="1">
      <c r="A18" t="s" s="29">
        <v>65</v>
      </c>
      <c r="B18" t="s" s="7">
        <v>64</v>
      </c>
      <c r="C18" s="28"/>
      <c r="D18" s="10">
        <f>$C$17*D16</f>
        <v>42840000</v>
      </c>
      <c r="E18" s="10">
        <f>$C$17*E16</f>
        <v>85680000</v>
      </c>
      <c r="F18" s="10">
        <f>$C$17*F16</f>
        <v>128520000</v>
      </c>
      <c r="G18" s="10">
        <f>$C$17*G16</f>
        <v>171360000</v>
      </c>
      <c r="H18" s="10">
        <f>$C$17*H16</f>
        <v>214200000</v>
      </c>
      <c r="I18" s="10">
        <f>$C$17*I16</f>
        <v>257040000</v>
      </c>
      <c r="J18" s="10">
        <f>$C$17*J16</f>
        <v>300000000</v>
      </c>
      <c r="K18" s="10">
        <f>$C$17*K16</f>
        <v>300000000</v>
      </c>
      <c r="L18" s="10">
        <f>$C$17*L16</f>
        <v>300000000</v>
      </c>
      <c r="M18" s="10">
        <f>$C$17*M16</f>
        <v>300000000</v>
      </c>
      <c r="N18" s="10">
        <f>$C$17*N16</f>
        <v>300000000</v>
      </c>
    </row>
    <row r="19" ht="20.05" customHeight="1">
      <c r="A19" t="s" s="7">
        <v>66</v>
      </c>
      <c r="B19" t="s" s="7">
        <v>67</v>
      </c>
      <c r="C19" s="28">
        <v>3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ht="20.05" customHeight="1">
      <c r="A20" t="s" s="7">
        <v>68</v>
      </c>
      <c r="B20" t="s" s="7">
        <v>67</v>
      </c>
      <c r="C20" s="30"/>
      <c r="D20" s="10">
        <f>$C$19*D18</f>
        <v>128520000</v>
      </c>
      <c r="E20" s="10">
        <f>$C$19*E18</f>
        <v>257040000</v>
      </c>
      <c r="F20" s="10">
        <f>$C$19*F18</f>
        <v>385560000</v>
      </c>
      <c r="G20" s="10">
        <f>$C$19*G18</f>
        <v>514080000</v>
      </c>
      <c r="H20" s="10">
        <f>$C$19*H18</f>
        <v>642600000</v>
      </c>
      <c r="I20" s="10">
        <f>$C$19*I18</f>
        <v>771120000</v>
      </c>
      <c r="J20" s="10">
        <f>$C$19*J18</f>
        <v>900000000</v>
      </c>
      <c r="K20" s="10">
        <f>$C$19*K18</f>
        <v>900000000</v>
      </c>
      <c r="L20" s="10">
        <f>$C$19*L18</f>
        <v>900000000</v>
      </c>
      <c r="M20" s="10">
        <f>$C$19*M18</f>
        <v>900000000</v>
      </c>
      <c r="N20" s="10">
        <f>$C$19*N18</f>
        <v>900000000</v>
      </c>
    </row>
    <row r="21" ht="20.05" customHeight="1">
      <c r="A21" t="s" s="7">
        <v>69</v>
      </c>
      <c r="B21" t="s" s="7">
        <v>18</v>
      </c>
      <c r="C21" s="6"/>
      <c r="D21" s="10">
        <v>0.124193548387097</v>
      </c>
      <c r="E21" s="10">
        <v>0.136612903225806</v>
      </c>
      <c r="F21" s="10">
        <v>0.150274193548387</v>
      </c>
      <c r="G21" s="10">
        <v>0.165301612903226</v>
      </c>
      <c r="H21" s="10">
        <v>0.181831774193549</v>
      </c>
      <c r="I21" s="10">
        <v>0.200014951612903</v>
      </c>
      <c r="J21" s="10">
        <v>0.220016446774194</v>
      </c>
      <c r="K21" s="10">
        <v>0.242018091451613</v>
      </c>
      <c r="L21" s="10">
        <v>0.266219900596774</v>
      </c>
      <c r="M21" s="10">
        <v>0.292841890656453</v>
      </c>
      <c r="N21" s="10">
        <v>0.322126079722098</v>
      </c>
    </row>
    <row r="22" ht="20.05" customHeight="1">
      <c r="A22" t="s" s="7">
        <v>70</v>
      </c>
      <c r="B22" t="s" s="7">
        <v>18</v>
      </c>
      <c r="C22" s="10"/>
      <c r="D22" s="10">
        <f>D21*D20</f>
        <v>15961354.8387097</v>
      </c>
      <c r="E22" s="10">
        <f>E21*E20</f>
        <v>35114980.6451612</v>
      </c>
      <c r="F22" s="10">
        <f>F21*F20</f>
        <v>57939718.0645161</v>
      </c>
      <c r="G22" s="10">
        <f>G21*G20</f>
        <v>84978253.16129041</v>
      </c>
      <c r="H22" s="10">
        <f>H21*H20</f>
        <v>116845098.096775</v>
      </c>
      <c r="I22" s="10">
        <f>I21*I20</f>
        <v>154235529.487742</v>
      </c>
      <c r="J22" s="10">
        <f>J21*J20</f>
        <v>198014802.096775</v>
      </c>
      <c r="K22" s="10">
        <f>K21*K20</f>
        <v>217816282.306452</v>
      </c>
      <c r="L22" s="10">
        <f>L21*L20</f>
        <v>239597910.537097</v>
      </c>
      <c r="M22" s="10">
        <f>M21*M20</f>
        <v>263557701.590808</v>
      </c>
      <c r="N22" s="10">
        <f>N21*N20</f>
        <v>289913471.749888</v>
      </c>
    </row>
    <row r="23" ht="20.05" customHeight="1">
      <c r="A23" s="5"/>
      <c r="B23" s="3"/>
      <c r="C23" s="5"/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20.05" customHeight="1">
      <c r="A24" t="s" s="7">
        <v>71</v>
      </c>
      <c r="B24" t="s" s="7">
        <v>55</v>
      </c>
      <c r="C24" s="10">
        <v>7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ht="20.05" customHeight="1">
      <c r="A25" t="s" s="7">
        <v>72</v>
      </c>
      <c r="B25" t="s" s="7">
        <v>73</v>
      </c>
      <c r="C25" s="10">
        <f>365-52-10</f>
        <v>303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ht="20.05" customHeight="1">
      <c r="A26" t="s" s="7">
        <v>74</v>
      </c>
      <c r="B26" t="s" s="7">
        <v>55</v>
      </c>
      <c r="C26" s="28">
        <f>C25/C24</f>
        <v>43.2857142857143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ht="20.05" customHeight="1">
      <c r="A27" t="s" s="7">
        <v>75</v>
      </c>
      <c r="B27" t="s" s="7">
        <v>55</v>
      </c>
      <c r="C27" s="30"/>
      <c r="D27" s="28">
        <f>D16*$C$26</f>
        <v>30906</v>
      </c>
      <c r="E27" s="28">
        <f>E16*$C$26</f>
        <v>61812</v>
      </c>
      <c r="F27" s="28">
        <f>F16*$C$26</f>
        <v>92718</v>
      </c>
      <c r="G27" s="28">
        <f>G16*$C$26</f>
        <v>123624</v>
      </c>
      <c r="H27" s="28">
        <f>H16*$C$26</f>
        <v>154530</v>
      </c>
      <c r="I27" s="28">
        <f>I16*$C$26</f>
        <v>185436</v>
      </c>
      <c r="J27" s="28">
        <f>J16*$C$26</f>
        <v>216428.571428572</v>
      </c>
      <c r="K27" s="28">
        <f>K16*$C$26</f>
        <v>216428.571428572</v>
      </c>
      <c r="L27" s="28">
        <f>L16*$C$26</f>
        <v>216428.571428572</v>
      </c>
      <c r="M27" s="28">
        <f>M16*$C$26</f>
        <v>216428.571428572</v>
      </c>
      <c r="N27" s="28">
        <f>N16*$C$26</f>
        <v>216428.571428572</v>
      </c>
    </row>
    <row r="28" ht="20.05" customHeight="1">
      <c r="A28" s="7"/>
      <c r="B28" s="7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ht="20.05" customHeight="1">
      <c r="A29" t="s" s="7">
        <v>76</v>
      </c>
      <c r="B29" t="s" s="7">
        <v>77</v>
      </c>
      <c r="C29" s="31">
        <v>25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</row>
    <row r="30" ht="20.05" customHeight="1">
      <c r="A30" t="s" s="7">
        <v>78</v>
      </c>
      <c r="B30" t="s" s="7">
        <v>77</v>
      </c>
      <c r="C30" s="10"/>
      <c r="D30" s="28">
        <f>$C$29*D27</f>
        <v>772650</v>
      </c>
      <c r="E30" s="28">
        <f>$C$29*E27</f>
        <v>1545300</v>
      </c>
      <c r="F30" s="28">
        <f>$C$29*F27</f>
        <v>2317950</v>
      </c>
      <c r="G30" s="28">
        <f>$C$29*G27</f>
        <v>3090600</v>
      </c>
      <c r="H30" s="28">
        <f>$C$29*H27</f>
        <v>3863250</v>
      </c>
      <c r="I30" s="28">
        <f>$C$29*I27</f>
        <v>4635900</v>
      </c>
      <c r="J30" s="28">
        <f>$C$29*J27</f>
        <v>5410714.2857143</v>
      </c>
      <c r="K30" s="28">
        <f>$C$29*K27</f>
        <v>5410714.2857143</v>
      </c>
      <c r="L30" s="28">
        <f>$C$29*L27</f>
        <v>5410714.2857143</v>
      </c>
      <c r="M30" s="28">
        <f>$C$29*M27</f>
        <v>5410714.2857143</v>
      </c>
      <c r="N30" s="28">
        <f>$C$29*N27</f>
        <v>5410714.2857143</v>
      </c>
    </row>
    <row r="31" ht="20.05" customHeight="1">
      <c r="A31" t="s" s="5">
        <v>79</v>
      </c>
      <c r="B31" t="s" s="7">
        <v>80</v>
      </c>
      <c r="C31" s="10">
        <v>7000</v>
      </c>
      <c r="D31" s="10">
        <f>C31</f>
        <v>7000</v>
      </c>
      <c r="E31" s="10">
        <f>D31*1.05</f>
        <v>7350</v>
      </c>
      <c r="F31" s="10">
        <f>E31*1.05</f>
        <v>7717.5</v>
      </c>
      <c r="G31" s="10">
        <f>F31*1.1</f>
        <v>8489.25</v>
      </c>
      <c r="H31" s="10">
        <f>G31*1.1</f>
        <v>9338.174999999999</v>
      </c>
      <c r="I31" s="10">
        <f>H31*1.1</f>
        <v>10271.9925</v>
      </c>
      <c r="J31" s="10">
        <f>I31*1.1</f>
        <v>11299.19175</v>
      </c>
      <c r="K31" s="10">
        <f>J31*1.1</f>
        <v>12429.110925</v>
      </c>
      <c r="L31" s="10">
        <f>K31*1.1</f>
        <v>13672.0220175</v>
      </c>
      <c r="M31" s="10">
        <f>L31*1.1</f>
        <v>15039.22421925</v>
      </c>
      <c r="N31" s="10">
        <f>M31*1.1</f>
        <v>16543.146641175</v>
      </c>
    </row>
    <row r="32" ht="20.05" customHeight="1">
      <c r="A32" t="s" s="7">
        <v>79</v>
      </c>
      <c r="B32" t="s" s="7">
        <v>18</v>
      </c>
      <c r="C32" s="10">
        <f>C31/155</f>
        <v>45.1612903225806</v>
      </c>
      <c r="D32" s="10">
        <f>D31/155</f>
        <v>45.1612903225806</v>
      </c>
      <c r="E32" s="10">
        <f>E31/155</f>
        <v>47.4193548387097</v>
      </c>
      <c r="F32" s="10">
        <f>F31/155</f>
        <v>49.7903225806452</v>
      </c>
      <c r="G32" s="10">
        <f>G31/155</f>
        <v>54.7693548387097</v>
      </c>
      <c r="H32" s="10">
        <f>H31/155</f>
        <v>60.2462903225806</v>
      </c>
      <c r="I32" s="10">
        <f>I31/155</f>
        <v>66.2709193548387</v>
      </c>
      <c r="J32" s="10">
        <f>J31/155</f>
        <v>72.8980112903226</v>
      </c>
      <c r="K32" s="10">
        <f>K31/155</f>
        <v>80.1878124193548</v>
      </c>
      <c r="L32" s="10">
        <f>L31/155</f>
        <v>88.2065936612903</v>
      </c>
      <c r="M32" s="10">
        <f>M31/155</f>
        <v>97.02725302741941</v>
      </c>
      <c r="N32" s="10">
        <f>N31/155</f>
        <v>106.729978330161</v>
      </c>
    </row>
    <row r="33" ht="20.05" customHeight="1">
      <c r="A33" t="s" s="7">
        <v>81</v>
      </c>
      <c r="B33" t="s" s="7">
        <v>18</v>
      </c>
      <c r="C33" s="10"/>
      <c r="D33" s="10">
        <f>D30*D32</f>
        <v>34893870.9677419</v>
      </c>
      <c r="E33" s="10">
        <f>E30*E32</f>
        <v>73277129.03225809</v>
      </c>
      <c r="F33" s="10">
        <f>F30*F32</f>
        <v>115411478.225807</v>
      </c>
      <c r="G33" s="10">
        <f>G30*G32</f>
        <v>169270168.064516</v>
      </c>
      <c r="H33" s="10">
        <f>H30*H32</f>
        <v>232746481.08871</v>
      </c>
      <c r="I33" s="10">
        <f>I30*I32</f>
        <v>307225355.037097</v>
      </c>
      <c r="J33" s="10">
        <f>J30*J32</f>
        <v>394430311.088711</v>
      </c>
      <c r="K33" s="10">
        <f>K30*K32</f>
        <v>433873342.197582</v>
      </c>
      <c r="L33" s="10">
        <f>L30*L32</f>
        <v>477260676.41734</v>
      </c>
      <c r="M33" s="10">
        <f>M30*M32</f>
        <v>524986744.059074</v>
      </c>
      <c r="N33" s="10">
        <f>N30*N32</f>
        <v>577485418.46498</v>
      </c>
    </row>
    <row r="34" ht="20.05" customHeight="1">
      <c r="A34" s="7"/>
      <c r="B34" s="7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ht="20.05" customHeight="1">
      <c r="A35" s="6"/>
      <c r="B35" s="6"/>
      <c r="C35" s="10">
        <f>C32/750</f>
        <v>0.0602150537634408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ht="32.05" customHeight="1">
      <c r="A36" s="5"/>
      <c r="B36" s="3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ht="20.05" customHeight="1">
      <c r="A37" s="7"/>
      <c r="B37" s="15"/>
      <c r="C37" s="30"/>
      <c r="D37" s="10"/>
      <c r="E37" s="32"/>
      <c r="F37" s="32"/>
      <c r="G37" s="32"/>
      <c r="H37" s="32"/>
      <c r="I37" s="32"/>
      <c r="J37" s="32"/>
      <c r="K37" s="32"/>
      <c r="L37" s="32"/>
      <c r="M37" s="32"/>
      <c r="N37" s="32"/>
    </row>
    <row r="38" ht="20.05" customHeight="1">
      <c r="A38" s="7"/>
      <c r="B38" s="15"/>
      <c r="C38" s="30"/>
      <c r="D38" s="10"/>
      <c r="E38" s="32"/>
      <c r="F38" s="32"/>
      <c r="G38" s="32"/>
      <c r="H38" s="32"/>
      <c r="I38" s="32"/>
      <c r="J38" s="32"/>
      <c r="K38" s="32"/>
      <c r="L38" s="32"/>
      <c r="M38" s="32"/>
      <c r="N38" s="32"/>
    </row>
    <row r="39" ht="20.05" customHeight="1">
      <c r="A39" s="7"/>
      <c r="B39" s="15"/>
      <c r="C39" s="30"/>
      <c r="D39" s="10"/>
      <c r="E39" s="32"/>
      <c r="F39" s="32"/>
      <c r="G39" s="32"/>
      <c r="H39" s="32"/>
      <c r="I39" s="32"/>
      <c r="J39" s="32"/>
      <c r="K39" s="32"/>
      <c r="L39" s="32"/>
      <c r="M39" s="32"/>
      <c r="N39" s="32"/>
    </row>
    <row r="40" ht="20.05" customHeight="1">
      <c r="A40" s="7"/>
      <c r="B40" s="15"/>
      <c r="C40" s="30"/>
      <c r="D40" s="10"/>
      <c r="E40" s="32"/>
      <c r="F40" s="32"/>
      <c r="G40" s="32"/>
      <c r="H40" s="32"/>
      <c r="I40" s="32"/>
      <c r="J40" s="32"/>
      <c r="K40" s="32"/>
      <c r="L40" s="32"/>
      <c r="M40" s="32"/>
      <c r="N40" s="32"/>
    </row>
    <row r="41" ht="20.05" customHeight="1">
      <c r="A41" s="7"/>
      <c r="B41" s="15"/>
      <c r="C41" s="30"/>
      <c r="D41" s="10"/>
      <c r="E41" s="32"/>
      <c r="F41" s="32"/>
      <c r="G41" s="32"/>
      <c r="H41" s="32"/>
      <c r="I41" s="32"/>
      <c r="J41" s="32"/>
      <c r="K41" s="32"/>
      <c r="L41" s="32"/>
      <c r="M41" s="32"/>
      <c r="N41" s="32"/>
    </row>
    <row r="42" ht="20.05" customHeight="1">
      <c r="A42" s="6"/>
      <c r="B42" s="6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ht="20.05" customHeight="1">
      <c r="A43" s="5"/>
      <c r="B43" s="3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 ht="20.05" customHeight="1">
      <c r="A44" s="7"/>
      <c r="B44" s="7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ht="20.05" customHeight="1">
      <c r="A45" s="6"/>
      <c r="B45" s="6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ht="20.05" customHeight="1">
      <c r="A46" s="6"/>
      <c r="B46" s="6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ht="20.05" customHeight="1">
      <c r="A47" s="6"/>
      <c r="B47" s="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ht="20.05" customHeight="1">
      <c r="A48" s="6"/>
      <c r="B48" s="6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P36"/>
  <sheetViews>
    <sheetView workbookViewId="0" showGridLines="0" defaultGridColor="1"/>
  </sheetViews>
  <sheetFormatPr defaultColWidth="16.3333" defaultRowHeight="19.9" customHeight="1" outlineLevelRow="0" outlineLevelCol="0"/>
  <cols>
    <col min="1" max="1" width="57.2578" style="33" customWidth="1"/>
    <col min="2" max="2" width="25.1719" style="33" customWidth="1"/>
    <col min="3" max="3" width="12.3516" style="33" customWidth="1"/>
    <col min="4" max="4" width="9.17188" style="33" customWidth="1"/>
    <col min="5" max="16" width="14.1719" style="33" customWidth="1"/>
    <col min="17" max="16384" width="16.3516" style="33" customWidth="1"/>
  </cols>
  <sheetData>
    <row r="1" ht="20.05" customHeight="1">
      <c r="A1" t="s" s="2">
        <v>82</v>
      </c>
      <c r="B1" s="3"/>
      <c r="C1" s="3"/>
      <c r="D1" s="3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ht="32.05" customHeight="1">
      <c r="A2" t="s" s="5">
        <v>1</v>
      </c>
      <c r="B2" t="s" s="5">
        <v>83</v>
      </c>
      <c r="C2" t="s" s="5">
        <v>84</v>
      </c>
      <c r="D2" t="s" s="5">
        <v>2</v>
      </c>
      <c r="E2" t="s" s="5">
        <v>3</v>
      </c>
      <c r="F2" t="s" s="5">
        <v>4</v>
      </c>
      <c r="G2" t="s" s="5">
        <v>5</v>
      </c>
      <c r="H2" t="s" s="5">
        <v>6</v>
      </c>
      <c r="I2" t="s" s="5">
        <v>7</v>
      </c>
      <c r="J2" t="s" s="5">
        <v>8</v>
      </c>
      <c r="K2" t="s" s="5">
        <v>9</v>
      </c>
      <c r="L2" t="s" s="5">
        <v>10</v>
      </c>
      <c r="M2" t="s" s="5">
        <v>11</v>
      </c>
      <c r="N2" t="s" s="5">
        <v>12</v>
      </c>
      <c r="O2" t="s" s="5">
        <v>13</v>
      </c>
      <c r="P2" t="s" s="5">
        <v>14</v>
      </c>
    </row>
    <row r="3" ht="32.05" customHeight="1">
      <c r="A3" t="s" s="7">
        <v>21</v>
      </c>
      <c r="B3" t="s" s="7">
        <v>85</v>
      </c>
      <c r="C3" s="34">
        <v>15</v>
      </c>
      <c r="D3" t="s" s="7">
        <v>18</v>
      </c>
      <c r="E3" s="10"/>
      <c r="F3" s="10">
        <f>'ASSUMPTIONS_DATA'!D9</f>
        <v>49980000</v>
      </c>
      <c r="G3" s="10">
        <f>'ASSUMPTIONS_DATA'!E9</f>
        <v>49980000</v>
      </c>
      <c r="H3" s="10">
        <f>'ASSUMPTIONS_DATA'!F9</f>
        <v>49980000</v>
      </c>
      <c r="I3" s="10">
        <f>'ASSUMPTIONS_DATA'!G9</f>
        <v>49980000</v>
      </c>
      <c r="J3" s="10">
        <f>'ASSUMPTIONS_DATA'!H9</f>
        <v>49980000</v>
      </c>
      <c r="K3" s="10">
        <f>'ASSUMPTIONS_DATA'!I9</f>
        <v>49980000</v>
      </c>
      <c r="L3" s="10">
        <f>'ASSUMPTIONS_DATA'!J9</f>
        <v>50120000</v>
      </c>
      <c r="M3" s="10">
        <f>'ASSUMPTIONS_DATA'!K9</f>
        <v>0</v>
      </c>
      <c r="N3" s="10">
        <f>'ASSUMPTIONS_DATA'!L9</f>
        <v>0</v>
      </c>
      <c r="O3" s="10">
        <f>'ASSUMPTIONS_DATA'!M9</f>
        <v>0</v>
      </c>
      <c r="P3" s="10">
        <f>'ASSUMPTIONS_DATA'!N9</f>
        <v>0</v>
      </c>
    </row>
    <row r="4" ht="32.05" customHeight="1">
      <c r="A4" t="s" s="7">
        <v>22</v>
      </c>
      <c r="B4" s="7"/>
      <c r="C4" s="34">
        <v>8</v>
      </c>
      <c r="D4" t="s" s="7">
        <v>18</v>
      </c>
      <c r="E4" s="10"/>
      <c r="F4" s="10">
        <f>'ASSUMPTIONS_DATA'!D10</f>
        <v>1000000</v>
      </c>
      <c r="G4" s="10">
        <f>'ASSUMPTIONS_DATA'!E10</f>
        <v>0</v>
      </c>
      <c r="H4" s="10">
        <f>'ASSUMPTIONS_DATA'!F10</f>
        <v>0</v>
      </c>
      <c r="I4" s="10">
        <f>'ASSUMPTIONS_DATA'!G10</f>
        <v>0</v>
      </c>
      <c r="J4" s="10">
        <f>'ASSUMPTIONS_DATA'!H10</f>
        <v>0</v>
      </c>
      <c r="K4" s="10">
        <f>'ASSUMPTIONS_DATA'!I10</f>
        <v>0</v>
      </c>
      <c r="L4" s="10">
        <f>'ASSUMPTIONS_DATA'!J10</f>
        <v>0</v>
      </c>
      <c r="M4" s="10">
        <f>'ASSUMPTIONS_DATA'!K10</f>
        <v>0</v>
      </c>
      <c r="N4" s="10">
        <f>'ASSUMPTIONS_DATA'!L10</f>
        <v>0</v>
      </c>
      <c r="O4" s="10">
        <f>'ASSUMPTIONS_DATA'!M10</f>
        <v>0</v>
      </c>
      <c r="P4" s="10">
        <f>'ASSUMPTIONS_DATA'!N10</f>
        <v>0</v>
      </c>
    </row>
    <row r="5" ht="32.05" customHeight="1">
      <c r="A5" t="s" s="7">
        <v>23</v>
      </c>
      <c r="B5" s="7"/>
      <c r="C5" s="34">
        <v>10</v>
      </c>
      <c r="D5" t="s" s="7">
        <v>18</v>
      </c>
      <c r="E5" s="10"/>
      <c r="F5" s="10">
        <f>'ASSUMPTIONS_DATA'!D11</f>
        <v>500000</v>
      </c>
      <c r="G5" s="10">
        <f>'ASSUMPTIONS_DATA'!E11</f>
        <v>0</v>
      </c>
      <c r="H5" s="10">
        <f>'ASSUMPTIONS_DATA'!F11</f>
        <v>0</v>
      </c>
      <c r="I5" s="10">
        <f>'ASSUMPTIONS_DATA'!G11</f>
        <v>0</v>
      </c>
      <c r="J5" s="10">
        <f>'ASSUMPTIONS_DATA'!H11</f>
        <v>0</v>
      </c>
      <c r="K5" s="10">
        <f>'ASSUMPTIONS_DATA'!I11</f>
        <v>0</v>
      </c>
      <c r="L5" s="10">
        <f>'ASSUMPTIONS_DATA'!J11</f>
        <v>0</v>
      </c>
      <c r="M5" s="10">
        <f>'ASSUMPTIONS_DATA'!K11</f>
        <v>0</v>
      </c>
      <c r="N5" s="10">
        <f>'ASSUMPTIONS_DATA'!L11</f>
        <v>0</v>
      </c>
      <c r="O5" s="10">
        <f>'ASSUMPTIONS_DATA'!M11</f>
        <v>0</v>
      </c>
      <c r="P5" s="10">
        <f>'ASSUMPTIONS_DATA'!N11</f>
        <v>0</v>
      </c>
    </row>
    <row r="6" ht="20.05" customHeight="1">
      <c r="A6" t="s" s="5">
        <v>86</v>
      </c>
      <c r="B6" s="3"/>
      <c r="C6" s="3"/>
      <c r="D6" t="s" s="5">
        <v>18</v>
      </c>
      <c r="E6" s="11"/>
      <c r="F6" s="11">
        <f>SUM(F3:F5)</f>
        <v>51480000</v>
      </c>
      <c r="G6" s="11">
        <f>SUM(G3:G5)</f>
        <v>49980000</v>
      </c>
      <c r="H6" s="11">
        <f>SUM(H3:H5)</f>
        <v>49980000</v>
      </c>
      <c r="I6" s="11">
        <f>SUM(I3:I5)</f>
        <v>49980000</v>
      </c>
      <c r="J6" s="11">
        <f>SUM(J3:J5)</f>
        <v>49980000</v>
      </c>
      <c r="K6" s="11">
        <f>SUM(K3:K5)</f>
        <v>49980000</v>
      </c>
      <c r="L6" s="11">
        <f>SUM(L3:L5)</f>
        <v>50120000</v>
      </c>
      <c r="M6" s="11">
        <f>SUM(M3:M5)</f>
        <v>0</v>
      </c>
      <c r="N6" s="11">
        <f>SUM(N3:N5)</f>
        <v>0</v>
      </c>
      <c r="O6" s="11">
        <f>SUM(O3:O5)</f>
        <v>0</v>
      </c>
      <c r="P6" s="11">
        <f>SUM(P3:P5)</f>
        <v>0</v>
      </c>
    </row>
    <row r="7" ht="20.05" customHeight="1">
      <c r="A7" s="3"/>
      <c r="B7" s="3"/>
      <c r="C7" s="3"/>
      <c r="D7" s="3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ht="32.05" customHeight="1">
      <c r="A8" t="s" s="5">
        <v>87</v>
      </c>
      <c r="B8" s="3"/>
      <c r="C8" s="3"/>
      <c r="D8" t="s" s="5">
        <v>18</v>
      </c>
      <c r="E8" s="11">
        <v>0</v>
      </c>
      <c r="F8" s="11">
        <f>F24</f>
        <v>3507000</v>
      </c>
      <c r="G8" s="11">
        <f>G24</f>
        <v>6839000</v>
      </c>
      <c r="H8" s="11">
        <f>H24</f>
        <v>10171000</v>
      </c>
      <c r="I8" s="11">
        <f>I24</f>
        <v>13503000</v>
      </c>
      <c r="J8" s="11">
        <f>J24</f>
        <v>16835000</v>
      </c>
      <c r="K8" s="11">
        <f>K24</f>
        <v>20167000</v>
      </c>
      <c r="L8" s="11">
        <f>L24</f>
        <v>23508333.3333333</v>
      </c>
      <c r="M8" s="11">
        <f>M24</f>
        <v>23508333.3333333</v>
      </c>
      <c r="N8" s="11">
        <f>N24</f>
        <v>23383333.3333333</v>
      </c>
      <c r="O8" s="11">
        <f>O24</f>
        <v>23383333.3333333</v>
      </c>
      <c r="P8" s="11">
        <f>P24</f>
        <v>23333333.3333333</v>
      </c>
    </row>
    <row r="9" ht="32.05" customHeight="1">
      <c r="A9" t="s" s="5">
        <v>88</v>
      </c>
      <c r="B9" s="3"/>
      <c r="C9" s="3"/>
      <c r="D9" t="s" s="5">
        <v>18</v>
      </c>
      <c r="E9" s="11">
        <f>E6-E8</f>
        <v>0</v>
      </c>
      <c r="F9" s="11">
        <f>F6-F8</f>
        <v>47973000</v>
      </c>
      <c r="G9" s="11">
        <f>G6-G8</f>
        <v>43141000</v>
      </c>
      <c r="H9" s="11">
        <f>H6-H8</f>
        <v>39809000</v>
      </c>
      <c r="I9" s="11">
        <f>I6-I8</f>
        <v>36477000</v>
      </c>
      <c r="J9" s="11">
        <f>J6-J8</f>
        <v>33145000</v>
      </c>
      <c r="K9" s="11">
        <f>K6-K8</f>
        <v>29813000</v>
      </c>
      <c r="L9" s="11">
        <f>L6-L8</f>
        <v>26611666.6666667</v>
      </c>
      <c r="M9" s="11">
        <f>M6-M8</f>
        <v>-23508333.3333333</v>
      </c>
      <c r="N9" s="11">
        <f>N6-N8</f>
        <v>-23383333.3333333</v>
      </c>
      <c r="O9" s="11">
        <f>O6-O8</f>
        <v>-23383333.3333333</v>
      </c>
      <c r="P9" s="11">
        <f>P6-P8</f>
        <v>-23333333.3333333</v>
      </c>
    </row>
    <row r="10" ht="20.05" customHeight="1">
      <c r="A10" s="6"/>
      <c r="B10" s="6"/>
      <c r="C10" s="6"/>
      <c r="D10" s="6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ht="20.05" customHeight="1">
      <c r="A11" s="6"/>
      <c r="B11" s="6"/>
      <c r="C11" s="6"/>
      <c r="D11" s="6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0.05" customHeight="1">
      <c r="A12" t="s" s="5">
        <v>89</v>
      </c>
      <c r="B12" s="3"/>
      <c r="C12" s="3"/>
      <c r="D12" s="3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ht="32.05" customHeight="1">
      <c r="A13" t="s" s="5">
        <v>1</v>
      </c>
      <c r="B13" t="s" s="5">
        <v>90</v>
      </c>
      <c r="C13" t="s" s="5">
        <v>84</v>
      </c>
      <c r="D13" t="s" s="5">
        <v>2</v>
      </c>
      <c r="E13" t="s" s="5">
        <v>3</v>
      </c>
      <c r="F13" t="s" s="5">
        <v>4</v>
      </c>
      <c r="G13" t="s" s="5">
        <v>5</v>
      </c>
      <c r="H13" t="s" s="5">
        <v>6</v>
      </c>
      <c r="I13" t="s" s="5">
        <v>7</v>
      </c>
      <c r="J13" t="s" s="5">
        <v>8</v>
      </c>
      <c r="K13" t="s" s="5">
        <v>9</v>
      </c>
      <c r="L13" t="s" s="5">
        <v>10</v>
      </c>
      <c r="M13" t="s" s="5">
        <v>11</v>
      </c>
      <c r="N13" t="s" s="5">
        <v>12</v>
      </c>
      <c r="O13" t="s" s="5">
        <v>13</v>
      </c>
      <c r="P13" t="s" s="5">
        <v>14</v>
      </c>
    </row>
    <row r="14" ht="20.05" customHeight="1">
      <c r="A14" t="s" s="5">
        <v>21</v>
      </c>
      <c r="B14" t="s" s="5">
        <f>E13</f>
        <v>91</v>
      </c>
      <c r="C14" s="34">
        <f>$C$3</f>
        <v>15</v>
      </c>
      <c r="D14" t="s" s="7">
        <v>18</v>
      </c>
      <c r="E14" s="10"/>
      <c r="F14" s="10">
        <f>$F$3/$C$14</f>
        <v>3332000</v>
      </c>
      <c r="G14" s="10">
        <f>$F$3/$C$14</f>
        <v>3332000</v>
      </c>
      <c r="H14" s="10">
        <f>$F$3/$C$14</f>
        <v>3332000</v>
      </c>
      <c r="I14" s="10">
        <f>$F$3/$C$14</f>
        <v>3332000</v>
      </c>
      <c r="J14" s="10">
        <f>$F$3/$C$14</f>
        <v>3332000</v>
      </c>
      <c r="K14" s="10">
        <f>$F$3/$C$14</f>
        <v>3332000</v>
      </c>
      <c r="L14" s="10">
        <f>$F$3/$C$14</f>
        <v>3332000</v>
      </c>
      <c r="M14" s="10">
        <f>$F$3/$C$14</f>
        <v>3332000</v>
      </c>
      <c r="N14" s="10">
        <f>$F$3/$C$14</f>
        <v>3332000</v>
      </c>
      <c r="O14" s="10">
        <f>$F$3/$C$14</f>
        <v>3332000</v>
      </c>
      <c r="P14" s="10">
        <f>$F$3/$C$14</f>
        <v>3332000</v>
      </c>
    </row>
    <row r="15" ht="20.05" customHeight="1">
      <c r="A15" t="s" s="7">
        <v>92</v>
      </c>
      <c r="B15" t="s" s="7">
        <f>F13</f>
        <v>93</v>
      </c>
      <c r="C15" s="35">
        <f>$C$3</f>
        <v>15</v>
      </c>
      <c r="D15" t="s" s="7">
        <v>18</v>
      </c>
      <c r="E15" s="10"/>
      <c r="F15" s="10"/>
      <c r="G15" s="10">
        <f>$G$3/$C$15</f>
        <v>3332000</v>
      </c>
      <c r="H15" s="10">
        <f>$G$3/$C$15</f>
        <v>3332000</v>
      </c>
      <c r="I15" s="10">
        <f>$G$3/$C$15</f>
        <v>3332000</v>
      </c>
      <c r="J15" s="10">
        <f>$G$3/$C$15</f>
        <v>3332000</v>
      </c>
      <c r="K15" s="10">
        <f>$G$3/$C$15</f>
        <v>3332000</v>
      </c>
      <c r="L15" s="10">
        <f>$G$3/$C$15</f>
        <v>3332000</v>
      </c>
      <c r="M15" s="10">
        <f>$G$3/$C$15</f>
        <v>3332000</v>
      </c>
      <c r="N15" s="10">
        <f>$G$3/$C$15</f>
        <v>3332000</v>
      </c>
      <c r="O15" s="10">
        <f>$G$3/$C$15</f>
        <v>3332000</v>
      </c>
      <c r="P15" s="10">
        <f>$G$3/$C$15</f>
        <v>3332000</v>
      </c>
    </row>
    <row r="16" ht="20.05" customHeight="1">
      <c r="A16" t="s" s="7">
        <v>94</v>
      </c>
      <c r="B16" t="s" s="7">
        <f>G13</f>
        <v>95</v>
      </c>
      <c r="C16" s="35">
        <f>$C$3</f>
        <v>15</v>
      </c>
      <c r="D16" t="s" s="7">
        <v>18</v>
      </c>
      <c r="E16" s="10"/>
      <c r="F16" s="10"/>
      <c r="G16" s="10"/>
      <c r="H16" s="10">
        <f>$H$3/$C$16</f>
        <v>3332000</v>
      </c>
      <c r="I16" s="10">
        <f>$H$3/$C$16</f>
        <v>3332000</v>
      </c>
      <c r="J16" s="10">
        <f>$H$3/$C$16</f>
        <v>3332000</v>
      </c>
      <c r="K16" s="10">
        <f>$H$3/$C$16</f>
        <v>3332000</v>
      </c>
      <c r="L16" s="10">
        <f>$H$3/$C$16</f>
        <v>3332000</v>
      </c>
      <c r="M16" s="10">
        <f>$H$3/$C$16</f>
        <v>3332000</v>
      </c>
      <c r="N16" s="10">
        <f>$H$3/$C$16</f>
        <v>3332000</v>
      </c>
      <c r="O16" s="10">
        <f>$H$3/$C$16</f>
        <v>3332000</v>
      </c>
      <c r="P16" s="10">
        <f>$H$3/$C$16</f>
        <v>3332000</v>
      </c>
    </row>
    <row r="17" ht="20.05" customHeight="1">
      <c r="A17" t="s" s="7">
        <v>96</v>
      </c>
      <c r="B17" t="s" s="7">
        <f>H13</f>
        <v>97</v>
      </c>
      <c r="C17" s="35">
        <f>$C$3</f>
        <v>15</v>
      </c>
      <c r="D17" t="s" s="7">
        <v>18</v>
      </c>
      <c r="E17" s="10"/>
      <c r="F17" s="10"/>
      <c r="G17" s="10"/>
      <c r="H17" s="10"/>
      <c r="I17" s="10">
        <f>$I$3/$C$17</f>
        <v>3332000</v>
      </c>
      <c r="J17" s="10">
        <f>$I$3/$C$17</f>
        <v>3332000</v>
      </c>
      <c r="K17" s="10">
        <f>$I$3/$C$17</f>
        <v>3332000</v>
      </c>
      <c r="L17" s="10">
        <f>$I$3/$C$17</f>
        <v>3332000</v>
      </c>
      <c r="M17" s="10">
        <f>$I$3/$C$17</f>
        <v>3332000</v>
      </c>
      <c r="N17" s="10">
        <f>$I$3/$C$17</f>
        <v>3332000</v>
      </c>
      <c r="O17" s="10">
        <f>$I$3/$C$17</f>
        <v>3332000</v>
      </c>
      <c r="P17" s="10">
        <f>$I$3/$C$17</f>
        <v>3332000</v>
      </c>
    </row>
    <row r="18" ht="20.05" customHeight="1">
      <c r="A18" t="s" s="7">
        <v>98</v>
      </c>
      <c r="B18" t="s" s="7">
        <f>I13</f>
        <v>99</v>
      </c>
      <c r="C18" s="35">
        <f>$C$3</f>
        <v>15</v>
      </c>
      <c r="D18" t="s" s="7">
        <v>18</v>
      </c>
      <c r="E18" s="10"/>
      <c r="F18" s="10"/>
      <c r="G18" s="10"/>
      <c r="H18" s="10"/>
      <c r="I18" s="10"/>
      <c r="J18" s="10">
        <f>$J$3/$C$18</f>
        <v>3332000</v>
      </c>
      <c r="K18" s="10">
        <f>$J$3/$C$18</f>
        <v>3332000</v>
      </c>
      <c r="L18" s="10">
        <f>$J$3/$C$18</f>
        <v>3332000</v>
      </c>
      <c r="M18" s="10">
        <f>$J$3/$C$18</f>
        <v>3332000</v>
      </c>
      <c r="N18" s="10">
        <f>$J$3/$C$18</f>
        <v>3332000</v>
      </c>
      <c r="O18" s="10">
        <f>$J$3/$C$18</f>
        <v>3332000</v>
      </c>
      <c r="P18" s="10">
        <f>$J$3/$C$18</f>
        <v>3332000</v>
      </c>
    </row>
    <row r="19" ht="20.05" customHeight="1">
      <c r="A19" t="s" s="7">
        <v>100</v>
      </c>
      <c r="B19" t="s" s="7">
        <f>J13</f>
        <v>101</v>
      </c>
      <c r="C19" s="35">
        <f>$C$3</f>
        <v>15</v>
      </c>
      <c r="D19" t="s" s="7">
        <v>18</v>
      </c>
      <c r="E19" s="10"/>
      <c r="F19" s="10"/>
      <c r="G19" s="10"/>
      <c r="H19" s="10"/>
      <c r="I19" s="10"/>
      <c r="J19" s="10"/>
      <c r="K19" s="10">
        <f>$K$3/$C$19</f>
        <v>3332000</v>
      </c>
      <c r="L19" s="10">
        <f>$K$3/$C$19</f>
        <v>3332000</v>
      </c>
      <c r="M19" s="10">
        <f>$K$3/$C$19</f>
        <v>3332000</v>
      </c>
      <c r="N19" s="10">
        <f>$K$3/$C$19</f>
        <v>3332000</v>
      </c>
      <c r="O19" s="10">
        <f>$K$3/$C$19</f>
        <v>3332000</v>
      </c>
      <c r="P19" s="10">
        <f>$K$3/$C$19</f>
        <v>3332000</v>
      </c>
    </row>
    <row r="20" ht="20.05" customHeight="1">
      <c r="A20" t="s" s="7">
        <v>102</v>
      </c>
      <c r="B20" t="s" s="7">
        <f>K13</f>
        <v>103</v>
      </c>
      <c r="C20" s="35">
        <f>$C$3</f>
        <v>15</v>
      </c>
      <c r="D20" t="s" s="7">
        <v>18</v>
      </c>
      <c r="E20" s="10"/>
      <c r="F20" s="10"/>
      <c r="G20" s="10"/>
      <c r="H20" s="10"/>
      <c r="I20" s="10"/>
      <c r="J20" s="10"/>
      <c r="K20" s="10"/>
      <c r="L20" s="10">
        <f>$L$3/$C$20</f>
        <v>3341333.33333333</v>
      </c>
      <c r="M20" s="10">
        <f>$L$3/$C$20</f>
        <v>3341333.33333333</v>
      </c>
      <c r="N20" s="10">
        <f>$L$3/$C$20</f>
        <v>3341333.33333333</v>
      </c>
      <c r="O20" s="10">
        <f>$L$3/$C$20</f>
        <v>3341333.33333333</v>
      </c>
      <c r="P20" s="10">
        <f>$L$3/$C$20</f>
        <v>3341333.33333333</v>
      </c>
    </row>
    <row r="21" ht="19.9" customHeight="1">
      <c r="A21" t="s" s="5">
        <v>104</v>
      </c>
      <c r="B21" s="5"/>
      <c r="C21" s="3"/>
      <c r="D21" s="5"/>
      <c r="E21" s="11"/>
      <c r="F21" s="11">
        <f>SUM(F14:F20)</f>
        <v>3332000</v>
      </c>
      <c r="G21" s="11">
        <f>SUM(G14:G20)</f>
        <v>6664000</v>
      </c>
      <c r="H21" s="11">
        <f>SUM(H14:H20)</f>
        <v>9996000</v>
      </c>
      <c r="I21" s="11">
        <f>SUM(I14:I20)</f>
        <v>13328000</v>
      </c>
      <c r="J21" s="11">
        <f>SUM(J14:J20)</f>
        <v>16660000</v>
      </c>
      <c r="K21" s="11">
        <f>SUM(K14:K20)</f>
        <v>19992000</v>
      </c>
      <c r="L21" s="11">
        <f>SUM(L14:L20)</f>
        <v>23333333.3333333</v>
      </c>
      <c r="M21" s="11">
        <f>SUM(M14:M20)</f>
        <v>23333333.3333333</v>
      </c>
      <c r="N21" s="11">
        <f>SUM(N14:N20)</f>
        <v>23333333.3333333</v>
      </c>
      <c r="O21" s="11">
        <f>SUM(O14:O20)</f>
        <v>23333333.3333333</v>
      </c>
      <c r="P21" s="11">
        <f>SUM(P14:P20)</f>
        <v>23333333.3333333</v>
      </c>
    </row>
    <row r="22" ht="32.05" customHeight="1">
      <c r="A22" t="s" s="5">
        <v>105</v>
      </c>
      <c r="B22" t="s" s="5">
        <f>E13</f>
        <v>91</v>
      </c>
      <c r="C22" s="35">
        <f>C4</f>
        <v>8</v>
      </c>
      <c r="D22" t="s" s="5">
        <v>18</v>
      </c>
      <c r="E22" s="11"/>
      <c r="F22" s="11">
        <f>$F$4/$C$22</f>
        <v>125000</v>
      </c>
      <c r="G22" s="11">
        <f>$F$4/$C$22</f>
        <v>125000</v>
      </c>
      <c r="H22" s="11">
        <f>$F$4/$C$22</f>
        <v>125000</v>
      </c>
      <c r="I22" s="11">
        <f>$F$4/$C$22</f>
        <v>125000</v>
      </c>
      <c r="J22" s="11">
        <f>$F$4/$C$22</f>
        <v>125000</v>
      </c>
      <c r="K22" s="11">
        <f>$F$4/$C$22</f>
        <v>125000</v>
      </c>
      <c r="L22" s="11">
        <f>$F$4/$C$22</f>
        <v>125000</v>
      </c>
      <c r="M22" s="11">
        <f>$F$4/$C$22</f>
        <v>125000</v>
      </c>
      <c r="N22" s="11"/>
      <c r="O22" s="11"/>
      <c r="P22" s="11"/>
    </row>
    <row r="23" ht="32.05" customHeight="1">
      <c r="A23" t="s" s="5">
        <v>106</v>
      </c>
      <c r="B23" t="s" s="5">
        <v>3</v>
      </c>
      <c r="C23" s="35">
        <f>C5</f>
        <v>10</v>
      </c>
      <c r="D23" t="s" s="5">
        <v>18</v>
      </c>
      <c r="E23" s="11"/>
      <c r="F23" s="11">
        <f>$F$5/$C$23</f>
        <v>50000</v>
      </c>
      <c r="G23" s="11">
        <f>$F$5/$C$23</f>
        <v>50000</v>
      </c>
      <c r="H23" s="11">
        <f>$F$5/$C$23</f>
        <v>50000</v>
      </c>
      <c r="I23" s="11">
        <f>$F$5/$C$23</f>
        <v>50000</v>
      </c>
      <c r="J23" s="11">
        <f>$F$5/$C$23</f>
        <v>50000</v>
      </c>
      <c r="K23" s="11">
        <f>$F$5/$C$23</f>
        <v>50000</v>
      </c>
      <c r="L23" s="11">
        <f>$F$5/$C$23</f>
        <v>50000</v>
      </c>
      <c r="M23" s="11">
        <f>$F$5/$C$23</f>
        <v>50000</v>
      </c>
      <c r="N23" s="11">
        <f>$F$5/$C$23</f>
        <v>50000</v>
      </c>
      <c r="O23" s="11">
        <f>$F$5/$C$23</f>
        <v>50000</v>
      </c>
      <c r="P23" s="11"/>
    </row>
    <row r="24" ht="20.05" customHeight="1">
      <c r="A24" t="s" s="5">
        <v>107</v>
      </c>
      <c r="B24" s="3"/>
      <c r="C24" s="3"/>
      <c r="D24" s="3"/>
      <c r="E24" s="11"/>
      <c r="F24" s="11">
        <f>F23+F22+F21</f>
        <v>3507000</v>
      </c>
      <c r="G24" s="11">
        <f>G23+G22+G21</f>
        <v>6839000</v>
      </c>
      <c r="H24" s="11">
        <f>H23+H22+H21</f>
        <v>10171000</v>
      </c>
      <c r="I24" s="11">
        <f>I23+I22+I21</f>
        <v>13503000</v>
      </c>
      <c r="J24" s="11">
        <f>J23+J22+J21</f>
        <v>16835000</v>
      </c>
      <c r="K24" s="11">
        <f>K23+K22+K21</f>
        <v>20167000</v>
      </c>
      <c r="L24" s="11">
        <f>L23+L22+L21</f>
        <v>23508333.3333333</v>
      </c>
      <c r="M24" s="11">
        <f>M23+M22+M21</f>
        <v>23508333.3333333</v>
      </c>
      <c r="N24" s="11">
        <f>N23+N22+N21</f>
        <v>23383333.3333333</v>
      </c>
      <c r="O24" s="11">
        <f>O23+O22+O21</f>
        <v>23383333.3333333</v>
      </c>
      <c r="P24" s="11">
        <f>P23+P22+P21</f>
        <v>23333333.3333333</v>
      </c>
    </row>
    <row r="25" ht="20.05" customHeight="1">
      <c r="A25" s="6"/>
      <c r="B25" s="6"/>
      <c r="C25" s="6"/>
      <c r="D25" s="6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0.05" customHeight="1">
      <c r="A26" s="6"/>
      <c r="B26" s="6"/>
      <c r="C26" s="6"/>
      <c r="D26" s="6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0.05" customHeight="1">
      <c r="A27" t="s" s="5">
        <v>108</v>
      </c>
      <c r="B27" s="3"/>
      <c r="C27" s="3"/>
      <c r="D27" s="3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ht="20.05" customHeight="1">
      <c r="A28" t="s" s="7">
        <v>109</v>
      </c>
      <c r="B28" s="6"/>
      <c r="C28" s="6"/>
      <c r="D28" s="6"/>
      <c r="E28" s="10"/>
      <c r="F28" s="10">
        <f>F3-F21</f>
        <v>46648000</v>
      </c>
      <c r="G28" s="10">
        <f>(F28-G14)+G3</f>
        <v>93296000</v>
      </c>
      <c r="H28" s="10">
        <f>(G28-H14)+H3</f>
        <v>139944000</v>
      </c>
      <c r="I28" s="10">
        <f>(H28-I14)+I3</f>
        <v>186592000</v>
      </c>
      <c r="J28" s="10">
        <f>(I28-J14)+J3</f>
        <v>233240000</v>
      </c>
      <c r="K28" s="10">
        <f>(J28-K14)+K3</f>
        <v>279888000</v>
      </c>
      <c r="L28" s="10">
        <f>(K28-L14)+L3</f>
        <v>326676000</v>
      </c>
      <c r="M28" s="10">
        <f>(L28-M14)+M3</f>
        <v>323344000</v>
      </c>
      <c r="N28" s="10">
        <f>(M28-N14)+N3</f>
        <v>320012000</v>
      </c>
      <c r="O28" s="10">
        <f>(N28-O14)+O3</f>
        <v>316680000</v>
      </c>
      <c r="P28" s="10">
        <f>(O28-P14)+P3</f>
        <v>313348000</v>
      </c>
    </row>
    <row r="29" ht="32.05" customHeight="1">
      <c r="A29" t="s" s="7">
        <v>105</v>
      </c>
      <c r="B29" s="6"/>
      <c r="C29" s="6"/>
      <c r="D29" s="6"/>
      <c r="E29" s="10"/>
      <c r="F29" s="10">
        <f>F4-F22</f>
        <v>875000</v>
      </c>
      <c r="G29" s="10">
        <f>F29-G22</f>
        <v>750000</v>
      </c>
      <c r="H29" s="10">
        <f>G29-H22</f>
        <v>625000</v>
      </c>
      <c r="I29" s="10">
        <f>H29-I22</f>
        <v>500000</v>
      </c>
      <c r="J29" s="10">
        <f>I29-J22</f>
        <v>375000</v>
      </c>
      <c r="K29" s="10">
        <f>J29-K22</f>
        <v>250000</v>
      </c>
      <c r="L29" s="10">
        <f>K29-L22</f>
        <v>125000</v>
      </c>
      <c r="M29" s="10">
        <f>L29-M22</f>
        <v>0</v>
      </c>
      <c r="N29" s="10">
        <f>M29-N22</f>
        <v>0</v>
      </c>
      <c r="O29" s="10">
        <f>N29-O22</f>
        <v>0</v>
      </c>
      <c r="P29" s="10">
        <f>O29-P22</f>
        <v>0</v>
      </c>
    </row>
    <row r="30" ht="20.05" customHeight="1">
      <c r="A30" t="s" s="7">
        <v>106</v>
      </c>
      <c r="B30" s="6"/>
      <c r="C30" s="6"/>
      <c r="D30" s="6"/>
      <c r="E30" s="10"/>
      <c r="F30" s="10">
        <f>F5-F23</f>
        <v>450000</v>
      </c>
      <c r="G30" s="10">
        <f>F30-G23</f>
        <v>400000</v>
      </c>
      <c r="H30" s="10">
        <f>G30-H23</f>
        <v>350000</v>
      </c>
      <c r="I30" s="10">
        <f>H30-I23</f>
        <v>300000</v>
      </c>
      <c r="J30" s="10">
        <f>I30-J23</f>
        <v>250000</v>
      </c>
      <c r="K30" s="10">
        <f>J30-K23</f>
        <v>200000</v>
      </c>
      <c r="L30" s="10">
        <f>K30-L23</f>
        <v>150000</v>
      </c>
      <c r="M30" s="10">
        <f>L30-M23</f>
        <v>100000</v>
      </c>
      <c r="N30" s="10">
        <f>M30-N23</f>
        <v>50000</v>
      </c>
      <c r="O30" s="10">
        <f>N30-O23</f>
        <v>0</v>
      </c>
      <c r="P30" s="10">
        <f>O30-P23</f>
        <v>0</v>
      </c>
    </row>
    <row r="31" ht="20.05" customHeight="1">
      <c r="A31" s="6"/>
      <c r="B31" s="6"/>
      <c r="C31" s="6"/>
      <c r="D31" s="6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ht="20.05" customHeight="1">
      <c r="A32" s="6"/>
      <c r="B32" s="6"/>
      <c r="C32" s="6"/>
      <c r="D32" s="6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ht="20.05" customHeight="1">
      <c r="A33" s="6"/>
      <c r="B33" s="6"/>
      <c r="C33" s="6"/>
      <c r="D33" s="6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ht="20.05" customHeight="1">
      <c r="A34" s="6"/>
      <c r="B34" s="6"/>
      <c r="C34" s="6"/>
      <c r="D34" s="6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ht="20.05" customHeight="1">
      <c r="A35" s="6"/>
      <c r="B35" s="6"/>
      <c r="C35" s="6"/>
      <c r="D35" s="6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ht="20.05" customHeight="1">
      <c r="A36" s="6"/>
      <c r="B36" s="6"/>
      <c r="C36" s="6"/>
      <c r="D36" s="6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9"/>
  <sheetViews>
    <sheetView workbookViewId="0" showGridLines="0" defaultGridColor="1"/>
  </sheetViews>
  <sheetFormatPr defaultColWidth="16.3333" defaultRowHeight="19.9" customHeight="1" outlineLevelRow="0" outlineLevelCol="0"/>
  <cols>
    <col min="1" max="1" width="40.2188" style="36" customWidth="1"/>
    <col min="2" max="2" width="9.35156" style="36" customWidth="1"/>
    <col min="3" max="13" width="13.1719" style="36" customWidth="1"/>
    <col min="14" max="16384" width="16.3516" style="36" customWidth="1"/>
  </cols>
  <sheetData>
    <row r="1" ht="20.05" customHeight="1">
      <c r="A1" t="s" s="2">
        <v>0</v>
      </c>
      <c r="B1" s="3"/>
      <c r="C1" s="11"/>
      <c r="D1" s="6"/>
      <c r="E1" s="11"/>
      <c r="F1" s="10"/>
      <c r="G1" s="11"/>
      <c r="H1" s="10"/>
      <c r="I1" s="11"/>
      <c r="J1" s="10"/>
      <c r="K1" s="11"/>
      <c r="L1" s="10"/>
      <c r="M1" s="10"/>
    </row>
    <row r="2" ht="20.05" customHeight="1">
      <c r="A2" t="s" s="5">
        <v>1</v>
      </c>
      <c r="B2" t="s" s="5">
        <v>2</v>
      </c>
      <c r="C2" t="s" s="5">
        <v>4</v>
      </c>
      <c r="D2" t="s" s="5">
        <v>5</v>
      </c>
      <c r="E2" t="s" s="5">
        <v>6</v>
      </c>
      <c r="F2" t="s" s="5">
        <v>7</v>
      </c>
      <c r="G2" t="s" s="5">
        <v>8</v>
      </c>
      <c r="H2" t="s" s="5">
        <v>9</v>
      </c>
      <c r="I2" t="s" s="5">
        <v>10</v>
      </c>
      <c r="J2" t="s" s="5">
        <v>11</v>
      </c>
      <c r="K2" t="s" s="5">
        <v>12</v>
      </c>
      <c r="L2" t="s" s="5">
        <v>13</v>
      </c>
      <c r="M2" t="s" s="5">
        <v>14</v>
      </c>
    </row>
    <row r="3" ht="20.05" customHeight="1">
      <c r="A3" t="s" s="7">
        <v>110</v>
      </c>
      <c r="B3" t="s" s="7">
        <v>77</v>
      </c>
      <c r="C3" s="28">
        <f>'ASSUMPTIONS_DATA'!D30</f>
        <v>772650</v>
      </c>
      <c r="D3" s="28">
        <f>'ASSUMPTIONS_DATA'!E30</f>
        <v>1545300</v>
      </c>
      <c r="E3" s="28">
        <f>'ASSUMPTIONS_DATA'!F30</f>
        <v>2317950</v>
      </c>
      <c r="F3" s="28">
        <f>'ASSUMPTIONS_DATA'!G30</f>
        <v>3090600</v>
      </c>
      <c r="G3" s="28">
        <f>'ASSUMPTIONS_DATA'!H30</f>
        <v>3863250</v>
      </c>
      <c r="H3" s="28">
        <f>'ASSUMPTIONS_DATA'!I30</f>
        <v>4635900</v>
      </c>
      <c r="I3" s="28">
        <f>'ASSUMPTIONS_DATA'!J30</f>
        <v>5410714.2857143</v>
      </c>
      <c r="J3" s="28">
        <f>'ASSUMPTIONS_DATA'!K30</f>
        <v>5410714.2857143</v>
      </c>
      <c r="K3" s="28">
        <f>'ASSUMPTIONS_DATA'!L30</f>
        <v>5410714.2857143</v>
      </c>
      <c r="L3" s="28">
        <f>'ASSUMPTIONS_DATA'!M30</f>
        <v>5410714.2857143</v>
      </c>
      <c r="M3" s="28">
        <f>'ASSUMPTIONS_DATA'!N30</f>
        <v>5410714.2857143</v>
      </c>
    </row>
    <row r="4" ht="20.05" customHeight="1">
      <c r="A4" t="s" s="7">
        <v>111</v>
      </c>
      <c r="B4" t="s" s="7">
        <v>18</v>
      </c>
      <c r="C4" s="28">
        <f>'ASSUMPTIONS_DATA'!D32</f>
        <v>45.1612903225806</v>
      </c>
      <c r="D4" s="28">
        <f>'ASSUMPTIONS_DATA'!E32</f>
        <v>47.4193548387097</v>
      </c>
      <c r="E4" s="28">
        <f>'ASSUMPTIONS_DATA'!F32</f>
        <v>49.7903225806452</v>
      </c>
      <c r="F4" s="28">
        <f>'ASSUMPTIONS_DATA'!G32</f>
        <v>54.7693548387097</v>
      </c>
      <c r="G4" s="28">
        <f>'ASSUMPTIONS_DATA'!H32</f>
        <v>60.2462903225806</v>
      </c>
      <c r="H4" s="28">
        <f>'ASSUMPTIONS_DATA'!I32</f>
        <v>66.2709193548387</v>
      </c>
      <c r="I4" s="28">
        <f>'ASSUMPTIONS_DATA'!J32</f>
        <v>72.8980112903226</v>
      </c>
      <c r="J4" s="28">
        <f>'ASSUMPTIONS_DATA'!K32</f>
        <v>80.1878124193548</v>
      </c>
      <c r="K4" s="28">
        <f>'ASSUMPTIONS_DATA'!L32</f>
        <v>88.2065936612903</v>
      </c>
      <c r="L4" s="28">
        <f>'ASSUMPTIONS_DATA'!M32</f>
        <v>97.02725302741941</v>
      </c>
      <c r="M4" s="28">
        <f>'ASSUMPTIONS_DATA'!N32</f>
        <v>106.729978330161</v>
      </c>
    </row>
    <row r="5" ht="20.05" customHeight="1">
      <c r="A5" t="s" s="7">
        <v>112</v>
      </c>
      <c r="B5" t="s" s="7">
        <v>18</v>
      </c>
      <c r="C5" s="10">
        <f>C3*C4</f>
        <v>34893870.9677419</v>
      </c>
      <c r="D5" s="10">
        <f>D3*D4</f>
        <v>73277129.03225809</v>
      </c>
      <c r="E5" s="10">
        <f>E3*E4</f>
        <v>115411478.225807</v>
      </c>
      <c r="F5" s="10">
        <f>F3*F4</f>
        <v>169270168.064516</v>
      </c>
      <c r="G5" s="10">
        <f>G3*G4</f>
        <v>232746481.08871</v>
      </c>
      <c r="H5" s="10">
        <f>H3*H4</f>
        <v>307225355.037097</v>
      </c>
      <c r="I5" s="10">
        <f>I3*I4</f>
        <v>394430311.088711</v>
      </c>
      <c r="J5" s="10">
        <f>J3*J4</f>
        <v>433873342.197582</v>
      </c>
      <c r="K5" s="10">
        <f>K3*K4</f>
        <v>477260676.41734</v>
      </c>
      <c r="L5" s="10">
        <f>L3*L4</f>
        <v>524986744.059074</v>
      </c>
      <c r="M5" s="10">
        <f>M3*M4</f>
        <v>577485418.46498</v>
      </c>
    </row>
    <row r="6" ht="20.0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ht="20.0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ht="14.7" customHeight="1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9"/>
    </row>
    <row r="9" ht="14.7" customHeight="1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O21"/>
  <sheetViews>
    <sheetView workbookViewId="0" showGridLines="0" defaultGridColor="1"/>
  </sheetViews>
  <sheetFormatPr defaultColWidth="16.3333" defaultRowHeight="19.9" customHeight="1" outlineLevelRow="0" outlineLevelCol="0"/>
  <cols>
    <col min="1" max="1" width="39" style="37" customWidth="1"/>
    <col min="2" max="2" width="8.85156" style="37" customWidth="1"/>
    <col min="3" max="14" width="13.1719" style="37" customWidth="1"/>
    <col min="15" max="15" width="22.3516" style="37" customWidth="1"/>
    <col min="16" max="16384" width="16.3516" style="37" customWidth="1"/>
  </cols>
  <sheetData>
    <row r="1" ht="20.05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20.0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5">
        <v>13</v>
      </c>
      <c r="N2" t="s" s="5">
        <v>14</v>
      </c>
      <c r="O2" s="3"/>
    </row>
    <row r="3" ht="20.05" customHeight="1">
      <c r="A3" t="s" s="5">
        <v>113</v>
      </c>
      <c r="B3" t="s" s="5">
        <v>18</v>
      </c>
      <c r="C3" s="8">
        <v>0</v>
      </c>
      <c r="D3" s="8">
        <f>'REVENUE PROJECTION'!C5</f>
        <v>34893870.9677419</v>
      </c>
      <c r="E3" s="8">
        <f>'REVENUE PROJECTION'!D5</f>
        <v>73277129.03225809</v>
      </c>
      <c r="F3" s="8">
        <f>'REVENUE PROJECTION'!E5</f>
        <v>115411478.225807</v>
      </c>
      <c r="G3" s="8">
        <f>'REVENUE PROJECTION'!F5</f>
        <v>169270168.064516</v>
      </c>
      <c r="H3" s="8">
        <f>'REVENUE PROJECTION'!G5</f>
        <v>232746481.08871</v>
      </c>
      <c r="I3" s="8">
        <f>'REVENUE PROJECTION'!H5</f>
        <v>307225355.037097</v>
      </c>
      <c r="J3" s="8">
        <f>'REVENUE PROJECTION'!I5</f>
        <v>394430311.088711</v>
      </c>
      <c r="K3" s="8">
        <f>'REVENUE PROJECTION'!J5</f>
        <v>433873342.197582</v>
      </c>
      <c r="L3" s="8">
        <f>'REVENUE PROJECTION'!K5</f>
        <v>477260676.41734</v>
      </c>
      <c r="M3" s="8">
        <f>'REVENUE PROJECTION'!L5</f>
        <v>524986744.059074</v>
      </c>
      <c r="N3" s="8">
        <f>'REVENUE PROJECTION'!M5</f>
        <v>577485418.46498</v>
      </c>
      <c r="O3" s="8"/>
    </row>
    <row r="4" ht="20.1" customHeight="1">
      <c r="A4" t="s" s="7">
        <v>114</v>
      </c>
      <c r="B4" t="s" s="7">
        <v>18</v>
      </c>
      <c r="C4" s="4">
        <v>0</v>
      </c>
      <c r="D4" s="4">
        <f>'ASSUMPTIONS_DATA'!D22</f>
        <v>15961354.8387097</v>
      </c>
      <c r="E4" s="4">
        <f>'ASSUMPTIONS_DATA'!E22</f>
        <v>35114980.6451612</v>
      </c>
      <c r="F4" s="4">
        <f>'ASSUMPTIONS_DATA'!F22</f>
        <v>57939718.0645161</v>
      </c>
      <c r="G4" s="4">
        <f>'ASSUMPTIONS_DATA'!G22</f>
        <v>84978253.16129041</v>
      </c>
      <c r="H4" s="4">
        <f>'ASSUMPTIONS_DATA'!H22</f>
        <v>116845098.096775</v>
      </c>
      <c r="I4" s="4">
        <f>'ASSUMPTIONS_DATA'!I22</f>
        <v>154235529.487742</v>
      </c>
      <c r="J4" s="4">
        <f>'ASSUMPTIONS_DATA'!J22</f>
        <v>198014802.096775</v>
      </c>
      <c r="K4" s="4">
        <f>'ASSUMPTIONS_DATA'!K22</f>
        <v>217816282.306452</v>
      </c>
      <c r="L4" s="4">
        <f>'ASSUMPTIONS_DATA'!L22</f>
        <v>239597910.537097</v>
      </c>
      <c r="M4" s="4">
        <f>'ASSUMPTIONS_DATA'!M22</f>
        <v>263557701.590808</v>
      </c>
      <c r="N4" s="4">
        <f>'ASSUMPTIONS_DATA'!N22</f>
        <v>289913471.749888</v>
      </c>
      <c r="O4" s="4"/>
    </row>
    <row r="5" ht="20.05" customHeight="1">
      <c r="A5" t="s" s="5">
        <v>115</v>
      </c>
      <c r="B5" t="s" s="5">
        <v>18</v>
      </c>
      <c r="C5" s="8">
        <f>C3-C4</f>
        <v>0</v>
      </c>
      <c r="D5" s="8">
        <f>D3-D4</f>
        <v>18932516.1290322</v>
      </c>
      <c r="E5" s="8">
        <f>E3-E4</f>
        <v>38162148.3870969</v>
      </c>
      <c r="F5" s="8">
        <f>F3-F4</f>
        <v>57471760.1612909</v>
      </c>
      <c r="G5" s="8">
        <f>G3-G4</f>
        <v>84291914.9032256</v>
      </c>
      <c r="H5" s="8">
        <f>H3-H4</f>
        <v>115901382.991935</v>
      </c>
      <c r="I5" s="8">
        <f>I3-I4</f>
        <v>152989825.549355</v>
      </c>
      <c r="J5" s="8">
        <f>J3-J4</f>
        <v>196415508.991936</v>
      </c>
      <c r="K5" s="8">
        <f>K3-K4</f>
        <v>216057059.89113</v>
      </c>
      <c r="L5" s="8">
        <f>L3-L4</f>
        <v>237662765.880243</v>
      </c>
      <c r="M5" s="8">
        <f>M3-M4</f>
        <v>261429042.468266</v>
      </c>
      <c r="N5" s="8">
        <f>N3-N4</f>
        <v>287571946.715092</v>
      </c>
      <c r="O5" s="8"/>
    </row>
    <row r="6" ht="20.05" customHeight="1">
      <c r="A6" s="6"/>
      <c r="B6" s="6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20.1" customHeight="1">
      <c r="A7" t="s" s="7">
        <v>116</v>
      </c>
      <c r="B7" t="s" s="7">
        <v>18</v>
      </c>
      <c r="C7" s="4">
        <v>0</v>
      </c>
      <c r="D7" s="4">
        <v>5000000</v>
      </c>
      <c r="E7" s="4">
        <f>D7*1.2</f>
        <v>6000000</v>
      </c>
      <c r="F7" s="4">
        <f>E7*1.2</f>
        <v>7200000</v>
      </c>
      <c r="G7" s="4">
        <f>F7*1.2</f>
        <v>8640000</v>
      </c>
      <c r="H7" s="4">
        <f>G7*1.2</f>
        <v>10368000</v>
      </c>
      <c r="I7" s="4">
        <f>H7*1.2</f>
        <v>12441600</v>
      </c>
      <c r="J7" s="4">
        <f>I7*1.2</f>
        <v>14929920</v>
      </c>
      <c r="K7" s="4">
        <f>J7*1.2</f>
        <v>17915904</v>
      </c>
      <c r="L7" s="4">
        <f>K7*1.2</f>
        <v>21499084.8</v>
      </c>
      <c r="M7" s="4">
        <f>L7*1.2</f>
        <v>25798901.76</v>
      </c>
      <c r="N7" s="4">
        <f>M7*1.2</f>
        <v>30958682.112</v>
      </c>
      <c r="O7" s="4"/>
    </row>
    <row r="8" ht="20.1" customHeight="1">
      <c r="A8" t="s" s="7">
        <v>117</v>
      </c>
      <c r="B8" t="s" s="7">
        <v>18</v>
      </c>
      <c r="C8" s="4">
        <f>C3*C7</f>
        <v>0</v>
      </c>
      <c r="D8" s="4">
        <f>D3*0.25</f>
        <v>8723467.74193548</v>
      </c>
      <c r="E8" s="4">
        <f>E3*0.25</f>
        <v>18319282.2580645</v>
      </c>
      <c r="F8" s="4">
        <f>F3*0.25</f>
        <v>28852869.5564518</v>
      </c>
      <c r="G8" s="4">
        <f>G3*0.25</f>
        <v>42317542.016129</v>
      </c>
      <c r="H8" s="4">
        <f>H3*0.25</f>
        <v>58186620.2721775</v>
      </c>
      <c r="I8" s="4">
        <f>I3*0.25</f>
        <v>76806338.7592743</v>
      </c>
      <c r="J8" s="4">
        <f>J3*0.25</f>
        <v>98607577.7721778</v>
      </c>
      <c r="K8" s="4">
        <f>K3*0.25</f>
        <v>108468335.549396</v>
      </c>
      <c r="L8" s="4">
        <f>L3*0.25</f>
        <v>119315169.104335</v>
      </c>
      <c r="M8" s="4">
        <f>M3*0.25</f>
        <v>131246686.014769</v>
      </c>
      <c r="N8" s="4">
        <f>N3*0.25</f>
        <v>144371354.616245</v>
      </c>
      <c r="O8" s="4"/>
    </row>
    <row r="9" ht="20.05" customHeight="1">
      <c r="A9" t="s" s="5">
        <v>40</v>
      </c>
      <c r="B9" t="s" s="5">
        <v>18</v>
      </c>
      <c r="C9" s="8">
        <f>C5-C7-C8</f>
        <v>0</v>
      </c>
      <c r="D9" s="8">
        <f>D5-D7-D8</f>
        <v>5209048.38709672</v>
      </c>
      <c r="E9" s="8">
        <f>E5-E7-E8</f>
        <v>13842866.1290324</v>
      </c>
      <c r="F9" s="8">
        <f>F5-F7-F8</f>
        <v>21418890.6048391</v>
      </c>
      <c r="G9" s="8">
        <f>G5-G7-G8</f>
        <v>33334372.8870966</v>
      </c>
      <c r="H9" s="8">
        <f>H5-H7-H8</f>
        <v>47346762.7197575</v>
      </c>
      <c r="I9" s="8">
        <f>I5-I7-I8</f>
        <v>63741886.7900807</v>
      </c>
      <c r="J9" s="8">
        <f>J5-J7-J8</f>
        <v>82878011.2197582</v>
      </c>
      <c r="K9" s="8">
        <f>K5-K7-K8</f>
        <v>89672820.34173401</v>
      </c>
      <c r="L9" s="8">
        <f>L5-L7-L8</f>
        <v>96848511.975908</v>
      </c>
      <c r="M9" s="8">
        <f>M5-M7-M8</f>
        <v>104383454.693497</v>
      </c>
      <c r="N9" s="8">
        <f>N5-N7-N8</f>
        <v>112241909.986847</v>
      </c>
      <c r="O9" s="8"/>
    </row>
    <row r="10" ht="20.35" customHeight="1">
      <c r="A10" t="s" s="7">
        <v>118</v>
      </c>
      <c r="B10" t="s" s="7">
        <v>18</v>
      </c>
      <c r="C10" s="38">
        <f>'CAPEX &amp; DEPRECIATION'!E8</f>
        <v>0</v>
      </c>
      <c r="D10" s="38">
        <f>'CAPEX &amp; DEPRECIATION'!F8</f>
        <v>3507000</v>
      </c>
      <c r="E10" s="38">
        <f>'CAPEX &amp; DEPRECIATION'!G8</f>
        <v>6839000</v>
      </c>
      <c r="F10" s="38">
        <f>'CAPEX &amp; DEPRECIATION'!H8</f>
        <v>10171000</v>
      </c>
      <c r="G10" s="38">
        <f>'CAPEX &amp; DEPRECIATION'!I8</f>
        <v>13503000</v>
      </c>
      <c r="H10" s="38">
        <f>'CAPEX &amp; DEPRECIATION'!J8</f>
        <v>16835000</v>
      </c>
      <c r="I10" s="38">
        <f>'CAPEX &amp; DEPRECIATION'!K8</f>
        <v>20167000</v>
      </c>
      <c r="J10" s="38">
        <f>'CAPEX &amp; DEPRECIATION'!L8</f>
        <v>23508333.3333333</v>
      </c>
      <c r="K10" s="38">
        <f>'CAPEX &amp; DEPRECIATION'!M8</f>
        <v>23508333.3333333</v>
      </c>
      <c r="L10" s="38">
        <f>'CAPEX &amp; DEPRECIATION'!N8</f>
        <v>23383333.3333333</v>
      </c>
      <c r="M10" s="38">
        <f>'CAPEX &amp; DEPRECIATION'!O8</f>
        <v>23383333.3333333</v>
      </c>
      <c r="N10" s="38">
        <f>'CAPEX &amp; DEPRECIATION'!P8</f>
        <v>23333333.3333333</v>
      </c>
      <c r="O10" s="38"/>
    </row>
    <row r="11" ht="20.7" customHeight="1">
      <c r="A11" t="s" s="5">
        <v>119</v>
      </c>
      <c r="B11" t="s" s="39">
        <v>18</v>
      </c>
      <c r="C11" s="40">
        <f>C9-C10</f>
        <v>0</v>
      </c>
      <c r="D11" s="41">
        <f>D9-D10</f>
        <v>1702048.38709672</v>
      </c>
      <c r="E11" s="42">
        <f>E9-E10</f>
        <v>7003866.1290324</v>
      </c>
      <c r="F11" s="42">
        <f>F9-F10</f>
        <v>11247890.6048391</v>
      </c>
      <c r="G11" s="42">
        <f>G9-G10</f>
        <v>19831372.8870966</v>
      </c>
      <c r="H11" s="42">
        <f>H9-H10</f>
        <v>30511762.7197575</v>
      </c>
      <c r="I11" s="42">
        <f>I9-I10</f>
        <v>43574886.7900807</v>
      </c>
      <c r="J11" s="42">
        <f>J9-J10</f>
        <v>59369677.8864249</v>
      </c>
      <c r="K11" s="42">
        <f>K9-K10</f>
        <v>66164487.0084007</v>
      </c>
      <c r="L11" s="42">
        <f>L9-L10</f>
        <v>73465178.6425747</v>
      </c>
      <c r="M11" s="43">
        <f>M9-M10</f>
        <v>81000121.3601637</v>
      </c>
      <c r="N11" s="40">
        <f>N9-N10</f>
        <v>88908576.6535137</v>
      </c>
      <c r="O11" s="40"/>
    </row>
    <row r="12" ht="20.35" customHeight="1">
      <c r="A12" t="s" s="7">
        <v>120</v>
      </c>
      <c r="B12" t="s" s="7">
        <v>18</v>
      </c>
      <c r="C12" s="44">
        <v>0</v>
      </c>
      <c r="D12" s="44">
        <f>D11*0.3</f>
        <v>510614.516129016</v>
      </c>
      <c r="E12" s="44">
        <f>E11*0.3</f>
        <v>2101159.83870972</v>
      </c>
      <c r="F12" s="44">
        <f>F11*0.3</f>
        <v>3374367.18145173</v>
      </c>
      <c r="G12" s="44">
        <f>G11*0.3</f>
        <v>5949411.86612898</v>
      </c>
      <c r="H12" s="44">
        <f>H11*0.3</f>
        <v>9153528.81592725</v>
      </c>
      <c r="I12" s="44">
        <f>I11*0.3</f>
        <v>13072466.0370242</v>
      </c>
      <c r="J12" s="44">
        <f>J11*0.3</f>
        <v>17810903.3659275</v>
      </c>
      <c r="K12" s="44">
        <f>K11*0.3</f>
        <v>19849346.1025202</v>
      </c>
      <c r="L12" s="44">
        <f>L11*0.3</f>
        <v>22039553.5927724</v>
      </c>
      <c r="M12" s="44">
        <f>M11*0.3</f>
        <v>24300036.4080491</v>
      </c>
      <c r="N12" s="44">
        <f>M12*1.2</f>
        <v>29160043.6896589</v>
      </c>
      <c r="O12" s="44"/>
    </row>
    <row r="13" ht="20.05" customHeight="1">
      <c r="A13" s="6"/>
      <c r="B13" s="6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20.05" customHeight="1">
      <c r="A14" t="s" s="5">
        <v>121</v>
      </c>
      <c r="B14" t="s" s="5">
        <v>18</v>
      </c>
      <c r="C14" s="8">
        <f>C11-C12</f>
        <v>0</v>
      </c>
      <c r="D14" s="8">
        <f>D11-D12</f>
        <v>1191433.8709677</v>
      </c>
      <c r="E14" s="8">
        <f>E11-E12</f>
        <v>4902706.29032268</v>
      </c>
      <c r="F14" s="8">
        <f>F11-F12</f>
        <v>7873523.42338737</v>
      </c>
      <c r="G14" s="8">
        <f>G11-G12</f>
        <v>13881961.0209676</v>
      </c>
      <c r="H14" s="8">
        <f>H11-H12</f>
        <v>21358233.9038303</v>
      </c>
      <c r="I14" s="8">
        <f>I11-I12</f>
        <v>30502420.7530565</v>
      </c>
      <c r="J14" s="8">
        <f>J11-J12</f>
        <v>41558774.5204974</v>
      </c>
      <c r="K14" s="8">
        <f>K11-K12</f>
        <v>46315140.9058805</v>
      </c>
      <c r="L14" s="8">
        <f>L11-L12</f>
        <v>51425625.0498023</v>
      </c>
      <c r="M14" s="8">
        <f>M11-M12</f>
        <v>56700084.9521146</v>
      </c>
      <c r="N14" s="8">
        <f>N11-N12</f>
        <v>59748532.9638548</v>
      </c>
      <c r="O14" s="8"/>
    </row>
    <row r="15" ht="20.05" customHeight="1">
      <c r="A15" s="6"/>
      <c r="B15" s="6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20.05" customHeight="1">
      <c r="A16" s="6"/>
      <c r="B16" s="6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20.05" customHeight="1">
      <c r="A17" t="s" s="7">
        <v>122</v>
      </c>
      <c r="B17" t="s" s="7">
        <v>18</v>
      </c>
      <c r="C17" s="4"/>
      <c r="D17" s="4">
        <f>D14</f>
        <v>1191433.8709677</v>
      </c>
      <c r="E17" s="4">
        <f>D17+E14</f>
        <v>6094140.16129038</v>
      </c>
      <c r="F17" s="4">
        <f>E17+F14</f>
        <v>13967663.5846778</v>
      </c>
      <c r="G17" s="4">
        <f>F17+G14</f>
        <v>27849624.6056454</v>
      </c>
      <c r="H17" s="4">
        <f>G17+H14</f>
        <v>49207858.5094757</v>
      </c>
      <c r="I17" s="4">
        <f>H17+I14</f>
        <v>79710279.2625322</v>
      </c>
      <c r="J17" s="4">
        <f>I17+J14</f>
        <v>121269053.78303</v>
      </c>
      <c r="K17" s="4">
        <f>J17+K14</f>
        <v>167584194.688911</v>
      </c>
      <c r="L17" s="4">
        <f>K17+L14</f>
        <v>219009819.738713</v>
      </c>
      <c r="M17" s="4">
        <f>L17+M14</f>
        <v>275709904.690828</v>
      </c>
      <c r="N17" s="4">
        <f>M17+N14</f>
        <v>335458437.654683</v>
      </c>
      <c r="O17" s="4"/>
    </row>
    <row r="18" ht="32.05" customHeight="1">
      <c r="A18" t="s" s="7">
        <v>123</v>
      </c>
      <c r="B18" t="s" s="7">
        <v>48</v>
      </c>
      <c r="C18" s="16"/>
      <c r="D18" s="16">
        <f>D14/'SOURCE_USE OF FUNDS'!D6</f>
        <v>0.0102304127680551</v>
      </c>
      <c r="E18" s="16">
        <f>E14/'SOURCE_USE OF FUNDS'!E6</f>
        <v>0.0294562983076345</v>
      </c>
      <c r="F18" s="16">
        <f>F14/'SOURCE_USE OF FUNDS'!F6</f>
        <v>0.0363807569697226</v>
      </c>
      <c r="G18" s="16">
        <f>G14/'SOURCE_USE OF FUNDS'!G6</f>
        <v>0.0521094632919204</v>
      </c>
      <c r="H18" s="16">
        <f>H14/'SOURCE_USE OF FUNDS'!H6</f>
        <v>0.0675081670896716</v>
      </c>
      <c r="I18" s="16">
        <f>I14/'SOURCE_USE OF FUNDS'!I6</f>
        <v>0.0832262503494038</v>
      </c>
      <c r="J18" s="16">
        <f>J14/'SOURCE_USE OF FUNDS'!J6</f>
        <v>0.113393654899038</v>
      </c>
      <c r="K18" s="16">
        <f>K14/'SOURCE_USE OF FUNDS'!K6</f>
        <v>0.126371462226141</v>
      </c>
      <c r="L18" s="16">
        <f>L14/'SOURCE_USE OF FUNDS'!L6</f>
        <v>0.140315484446937</v>
      </c>
      <c r="M18" s="16">
        <f>M14/'SOURCE_USE OF FUNDS'!M6</f>
        <v>0.154706916649699</v>
      </c>
      <c r="N18" s="16">
        <f>N14/'SOURCE_USE OF FUNDS'!N6</f>
        <v>0.163024646558949</v>
      </c>
      <c r="O18" t="s" s="7">
        <v>124</v>
      </c>
    </row>
    <row r="19" ht="20.05" customHeight="1">
      <c r="A19" t="s" s="7">
        <v>125</v>
      </c>
      <c r="B19" t="s" s="7">
        <v>18</v>
      </c>
      <c r="C19" s="4">
        <f>('SOURCE_USE OF FUNDS'!C6*-1)+C14</f>
        <v>-61480000</v>
      </c>
      <c r="D19" s="4">
        <f>D14*0.25</f>
        <v>297858.467741925</v>
      </c>
      <c r="E19" s="4">
        <f>E14*0.25</f>
        <v>1225676.57258067</v>
      </c>
      <c r="F19" s="4">
        <f>F14*0.25</f>
        <v>1968380.85584684</v>
      </c>
      <c r="G19" s="4">
        <f>G14*0.25</f>
        <v>3470490.2552419</v>
      </c>
      <c r="H19" s="4">
        <f>H14*0.25</f>
        <v>5339558.47595758</v>
      </c>
      <c r="I19" s="4">
        <f>I14*0.25</f>
        <v>7625605.18826413</v>
      </c>
      <c r="J19" s="4">
        <f>J14*0.25</f>
        <v>10389693.6301244</v>
      </c>
      <c r="K19" s="4">
        <f>K14*0.25</f>
        <v>11578785.2264701</v>
      </c>
      <c r="L19" s="4">
        <f>L14*0.25</f>
        <v>12856406.2624506</v>
      </c>
      <c r="M19" s="4">
        <f>M14*0.25</f>
        <v>14175021.2380287</v>
      </c>
      <c r="N19" s="4">
        <f>N14*0.25</f>
        <v>14937133.2409637</v>
      </c>
      <c r="O19" s="4">
        <f>'VALUATION SUMMARY'!H8</f>
        <v>224483819.973694</v>
      </c>
    </row>
    <row r="20" ht="20.05" customHeight="1">
      <c r="A20" t="s" s="7">
        <v>126</v>
      </c>
      <c r="B20" t="s" s="7">
        <v>48</v>
      </c>
      <c r="C20" s="16"/>
      <c r="D20" s="16">
        <f>(D14*0.25)/'SOURCE_USE OF FUNDS'!D6</f>
        <v>0.00255760319201378</v>
      </c>
      <c r="E20" s="16">
        <f>(E14*0.25)/'SOURCE_USE OF FUNDS'!E6</f>
        <v>0.00736407457690862</v>
      </c>
      <c r="F20" s="16">
        <f>(F14*0.25)/'SOURCE_USE OF FUNDS'!F6</f>
        <v>0.009095189242430661</v>
      </c>
      <c r="G20" s="16">
        <f>(G14*0.25)/'SOURCE_USE OF FUNDS'!G6</f>
        <v>0.0130273658229801</v>
      </c>
      <c r="H20" s="16">
        <f>(H14*0.25)/'SOURCE_USE OF FUNDS'!H6</f>
        <v>0.0168770417724179</v>
      </c>
      <c r="I20" s="16">
        <f>(I14*0.25)/'SOURCE_USE OF FUNDS'!I6</f>
        <v>0.020806562587351</v>
      </c>
      <c r="J20" s="16">
        <f>(J14*0.25)/'SOURCE_USE OF FUNDS'!J6</f>
        <v>0.0283484137247595</v>
      </c>
      <c r="K20" s="16">
        <f>(K14*0.25)/'SOURCE_USE OF FUNDS'!K6</f>
        <v>0.0315928655565351</v>
      </c>
      <c r="L20" s="16">
        <f>(L14*0.25)/'SOURCE_USE OF FUNDS'!L6</f>
        <v>0.0350788711117342</v>
      </c>
      <c r="M20" s="16">
        <f>(M14*0.25)/'SOURCE_USE OF FUNDS'!M6</f>
        <v>0.0386767291624247</v>
      </c>
      <c r="N20" s="16">
        <f>(N14*0.25)/'SOURCE_USE OF FUNDS'!N6</f>
        <v>0.0407561616397372</v>
      </c>
      <c r="O20" s="16"/>
    </row>
    <row r="21" ht="20.05" customHeight="1">
      <c r="A21" t="s" s="7">
        <v>47</v>
      </c>
      <c r="B21" t="s" s="7">
        <v>48</v>
      </c>
      <c r="C21" s="16"/>
      <c r="D21" s="15">
        <f>IRR(C19:O19,0.1)</f>
        <v>0.165670780707392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</sheetData>
  <conditionalFormatting sqref="C1:O1 C3:O17 C18:N21 O19:O21">
    <cfRule type="cellIs" dxfId="3" priority="1" operator="lessThan" stopIfTrue="1">
      <formula>0</formula>
    </cfRule>
  </conditionalFormatting>
  <pageMargins left="1" right="1" top="1" bottom="1" header="0.25" footer="0.25"/>
  <pageSetup firstPageNumber="1" fitToHeight="1" fitToWidth="1" scale="69" useFirstPageNumber="0" orientation="landscape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N23"/>
  <sheetViews>
    <sheetView workbookViewId="0" showGridLines="0" defaultGridColor="1"/>
  </sheetViews>
  <sheetFormatPr defaultColWidth="16.3333" defaultRowHeight="19.9" customHeight="1" outlineLevelRow="0" outlineLevelCol="0"/>
  <cols>
    <col min="1" max="1" width="29" style="45" customWidth="1"/>
    <col min="2" max="2" width="8.85156" style="45" customWidth="1"/>
    <col min="3" max="14" width="13.1719" style="45" customWidth="1"/>
    <col min="15" max="16384" width="16.3516" style="45" customWidth="1"/>
  </cols>
  <sheetData>
    <row r="1" ht="20.05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20.0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5">
        <v>13</v>
      </c>
      <c r="N2" t="s" s="5">
        <v>14</v>
      </c>
    </row>
    <row r="3" ht="20.05" customHeight="1">
      <c r="A3" t="s" s="5">
        <v>127</v>
      </c>
      <c r="B3" s="3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ht="20.05" customHeight="1">
      <c r="A4" t="s" s="7">
        <v>128</v>
      </c>
      <c r="B4" t="s" s="7">
        <v>18</v>
      </c>
      <c r="C4" s="4">
        <f>'INCOME STATEMENT '!C14</f>
        <v>0</v>
      </c>
      <c r="D4" s="4">
        <f>'INCOME STATEMENT '!D14</f>
        <v>1191433.8709677</v>
      </c>
      <c r="E4" s="4">
        <f>'INCOME STATEMENT '!E14</f>
        <v>4902706.29032268</v>
      </c>
      <c r="F4" s="4">
        <f>'INCOME STATEMENT '!F14</f>
        <v>7873523.42338737</v>
      </c>
      <c r="G4" s="4">
        <f>'INCOME STATEMENT '!G14</f>
        <v>13881961.0209676</v>
      </c>
      <c r="H4" s="4">
        <f>'INCOME STATEMENT '!H14</f>
        <v>21358233.9038303</v>
      </c>
      <c r="I4" s="4">
        <f>'INCOME STATEMENT '!I14</f>
        <v>30502420.7530565</v>
      </c>
      <c r="J4" s="4">
        <f>'INCOME STATEMENT '!J14</f>
        <v>41558774.5204974</v>
      </c>
      <c r="K4" s="4">
        <f>'INCOME STATEMENT '!K14</f>
        <v>46315140.9058805</v>
      </c>
      <c r="L4" s="4">
        <f>'INCOME STATEMENT '!L14</f>
        <v>51425625.0498023</v>
      </c>
      <c r="M4" s="4">
        <f>'INCOME STATEMENT '!M14</f>
        <v>56700084.9521146</v>
      </c>
      <c r="N4" s="4">
        <f>'INCOME STATEMENT '!N14</f>
        <v>59748532.9638548</v>
      </c>
    </row>
    <row r="5" ht="20.1" customHeight="1">
      <c r="A5" t="s" s="7">
        <v>129</v>
      </c>
      <c r="B5" t="s" s="7">
        <v>18</v>
      </c>
      <c r="C5" s="4">
        <f>'CAPEX &amp; DEPRECIATION'!E8</f>
        <v>0</v>
      </c>
      <c r="D5" s="4">
        <f>'CAPEX &amp; DEPRECIATION'!F8</f>
        <v>3507000</v>
      </c>
      <c r="E5" s="4">
        <f>'CAPEX &amp; DEPRECIATION'!G8</f>
        <v>6839000</v>
      </c>
      <c r="F5" s="4">
        <f>'CAPEX &amp; DEPRECIATION'!H8</f>
        <v>10171000</v>
      </c>
      <c r="G5" s="4">
        <f>'CAPEX &amp; DEPRECIATION'!I8</f>
        <v>13503000</v>
      </c>
      <c r="H5" s="4">
        <f>'CAPEX &amp; DEPRECIATION'!J8</f>
        <v>16835000</v>
      </c>
      <c r="I5" s="4">
        <f>'CAPEX &amp; DEPRECIATION'!K8</f>
        <v>20167000</v>
      </c>
      <c r="J5" s="4">
        <f>'CAPEX &amp; DEPRECIATION'!L8</f>
        <v>23508333.3333333</v>
      </c>
      <c r="K5" s="4">
        <f>'CAPEX &amp; DEPRECIATION'!M8</f>
        <v>23508333.3333333</v>
      </c>
      <c r="L5" s="4">
        <f>'CAPEX &amp; DEPRECIATION'!N8</f>
        <v>23383333.3333333</v>
      </c>
      <c r="M5" s="4">
        <f>'CAPEX &amp; DEPRECIATION'!O8</f>
        <v>23383333.3333333</v>
      </c>
      <c r="N5" s="4">
        <f>'CAPEX &amp; DEPRECIATION'!P8</f>
        <v>23333333.3333333</v>
      </c>
    </row>
    <row r="6" ht="20.05" customHeight="1">
      <c r="A6" t="s" s="5">
        <v>130</v>
      </c>
      <c r="B6" t="s" s="5">
        <v>18</v>
      </c>
      <c r="C6" s="8">
        <f>C4+C5</f>
        <v>0</v>
      </c>
      <c r="D6" s="8">
        <f>D4+D5</f>
        <v>4698433.8709677</v>
      </c>
      <c r="E6" s="8">
        <f>E4+E5</f>
        <v>11741706.2903227</v>
      </c>
      <c r="F6" s="8">
        <f>F4+F5</f>
        <v>18044523.4233874</v>
      </c>
      <c r="G6" s="8">
        <f>G4+G5</f>
        <v>27384961.0209676</v>
      </c>
      <c r="H6" s="8">
        <f>H4+H5</f>
        <v>38193233.9038303</v>
      </c>
      <c r="I6" s="8">
        <f>I4+I5</f>
        <v>50669420.7530565</v>
      </c>
      <c r="J6" s="8">
        <f>J4+J5</f>
        <v>65067107.8538307</v>
      </c>
      <c r="K6" s="8">
        <f>K4+K5</f>
        <v>69823474.23921379</v>
      </c>
      <c r="L6" s="8">
        <f>L4+L5</f>
        <v>74808958.3831356</v>
      </c>
      <c r="M6" s="8">
        <f>M4+M5</f>
        <v>80083418.2854479</v>
      </c>
      <c r="N6" s="8">
        <f>N4+N5</f>
        <v>83081866.2971881</v>
      </c>
    </row>
    <row r="7" ht="20.05" customHeight="1">
      <c r="A7" s="3"/>
      <c r="B7" s="6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ht="20.05" customHeight="1">
      <c r="A8" t="s" s="5">
        <v>131</v>
      </c>
      <c r="B8" s="6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20.05" customHeight="1">
      <c r="A9" t="s" s="7">
        <v>132</v>
      </c>
      <c r="B9" t="s" s="7">
        <v>18</v>
      </c>
      <c r="C9" s="4">
        <f>'CAPEX &amp; DEPRECIATION'!E6*-1</f>
        <v>0</v>
      </c>
      <c r="D9" s="4">
        <f>'CAPEX &amp; DEPRECIATION'!F6*-1</f>
        <v>-51480000</v>
      </c>
      <c r="E9" s="4">
        <f>'CAPEX &amp; DEPRECIATION'!G6*-1</f>
        <v>-49980000</v>
      </c>
      <c r="F9" s="4">
        <f>'CAPEX &amp; DEPRECIATION'!H6*-1</f>
        <v>-49980000</v>
      </c>
      <c r="G9" s="4">
        <f>'CAPEX &amp; DEPRECIATION'!I6*-1</f>
        <v>-49980000</v>
      </c>
      <c r="H9" s="4">
        <f>'CAPEX &amp; DEPRECIATION'!J6*-1</f>
        <v>-49980000</v>
      </c>
      <c r="I9" s="4">
        <f>'CAPEX &amp; DEPRECIATION'!K6*-1</f>
        <v>-49980000</v>
      </c>
      <c r="J9" s="4">
        <f>'CAPEX &amp; DEPRECIATION'!L6*-1</f>
        <v>-50120000</v>
      </c>
      <c r="K9" s="4">
        <f>'CAPEX &amp; DEPRECIATION'!M6*-1</f>
        <v>0</v>
      </c>
      <c r="L9" s="4">
        <f>'CAPEX &amp; DEPRECIATION'!N6*-1</f>
        <v>0</v>
      </c>
      <c r="M9" s="4">
        <f>'CAPEX &amp; DEPRECIATION'!O6*-1</f>
        <v>0</v>
      </c>
      <c r="N9" s="4">
        <f>'CAPEX &amp; DEPRECIATION'!P6*-1</f>
        <v>0</v>
      </c>
    </row>
    <row r="10" ht="20.05" customHeight="1">
      <c r="A10" t="s" s="5">
        <v>133</v>
      </c>
      <c r="B10" t="s" s="5">
        <v>18</v>
      </c>
      <c r="C10" s="8">
        <f>SUM(C9)</f>
        <v>0</v>
      </c>
      <c r="D10" s="8">
        <f>SUM(D9)</f>
        <v>-51480000</v>
      </c>
      <c r="E10" s="8">
        <f>SUM(E9)</f>
        <v>-49980000</v>
      </c>
      <c r="F10" s="8">
        <f>SUM(F9)</f>
        <v>-49980000</v>
      </c>
      <c r="G10" s="8">
        <f>SUM(G9)</f>
        <v>-49980000</v>
      </c>
      <c r="H10" s="8">
        <f>SUM(H9)</f>
        <v>-49980000</v>
      </c>
      <c r="I10" s="8">
        <f>SUM(I9)</f>
        <v>-49980000</v>
      </c>
      <c r="J10" s="8">
        <f>SUM(J9)</f>
        <v>-50120000</v>
      </c>
      <c r="K10" s="8">
        <f>SUM(K9)</f>
        <v>0</v>
      </c>
      <c r="L10" s="8">
        <f>SUM(L9)</f>
        <v>0</v>
      </c>
      <c r="M10" s="8">
        <f>SUM(M9)</f>
        <v>0</v>
      </c>
      <c r="N10" s="8">
        <f>SUM(N9)</f>
        <v>0</v>
      </c>
    </row>
    <row r="11" ht="20.05" customHeight="1">
      <c r="A11" s="6"/>
      <c r="B11" s="6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20.05" customHeight="1">
      <c r="A12" t="s" s="5">
        <v>134</v>
      </c>
      <c r="B12" s="3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ht="20.05" customHeight="1">
      <c r="A13" t="s" s="7">
        <v>135</v>
      </c>
      <c r="B13" t="s" s="7">
        <v>18</v>
      </c>
      <c r="C13" s="4">
        <f>'SOURCE_USE OF FUNDS'!C5</f>
        <v>61480000</v>
      </c>
      <c r="D13" s="4">
        <f>'SOURCE_USE OF FUNDS'!D5</f>
        <v>54980000</v>
      </c>
      <c r="E13" s="4">
        <f>'SOURCE_USE OF FUNDS'!E5</f>
        <v>49980000</v>
      </c>
      <c r="F13" s="4">
        <f>'SOURCE_USE OF FUNDS'!F5</f>
        <v>49980000</v>
      </c>
      <c r="G13" s="4">
        <f>'SOURCE_USE OF FUNDS'!G5</f>
        <v>49980000</v>
      </c>
      <c r="H13" s="4">
        <f>'SOURCE_USE OF FUNDS'!H5</f>
        <v>49980000</v>
      </c>
      <c r="I13" s="4">
        <f>'SOURCE_USE OF FUNDS'!I5</f>
        <v>50120000</v>
      </c>
      <c r="J13" s="4">
        <f>'SOURCE_USE OF FUNDS'!J5</f>
        <v>0</v>
      </c>
      <c r="K13" s="4">
        <f>'SOURCE_USE OF FUNDS'!K5</f>
        <v>0</v>
      </c>
      <c r="L13" s="4">
        <f>'SOURCE_USE OF FUNDS'!L5</f>
        <v>0</v>
      </c>
      <c r="M13" s="4">
        <f>'SOURCE_USE OF FUNDS'!M5</f>
        <v>0</v>
      </c>
      <c r="N13" s="4">
        <f>'SOURCE_USE OF FUNDS'!N5</f>
        <v>0</v>
      </c>
    </row>
    <row r="14" ht="20.05" customHeight="1">
      <c r="A14" t="s" s="7">
        <v>136</v>
      </c>
      <c r="B14" t="s" s="7">
        <v>48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0.25</v>
      </c>
      <c r="J14" s="46">
        <v>0.25</v>
      </c>
      <c r="K14" s="46">
        <v>0.25</v>
      </c>
      <c r="L14" s="46">
        <v>0.25</v>
      </c>
      <c r="M14" s="46">
        <v>0.25</v>
      </c>
      <c r="N14" s="46">
        <v>0.25</v>
      </c>
    </row>
    <row r="15" ht="20.05" customHeight="1">
      <c r="A15" t="s" s="7">
        <v>137</v>
      </c>
      <c r="B15" t="s" s="7">
        <v>18</v>
      </c>
      <c r="C15" s="4">
        <f>(C4*C14)*-1</f>
        <v>0</v>
      </c>
      <c r="D15" s="4">
        <f>(D4*D14)*-1</f>
        <v>0</v>
      </c>
      <c r="E15" s="4">
        <f>(E4*E14)*-1</f>
        <v>0</v>
      </c>
      <c r="F15" s="4">
        <f>(F4*F14)*-1</f>
        <v>0</v>
      </c>
      <c r="G15" s="4">
        <f>(G4*G14)*-1</f>
        <v>0</v>
      </c>
      <c r="H15" s="4">
        <f>(H4*H14)*-1</f>
        <v>0</v>
      </c>
      <c r="I15" s="4">
        <f>(I4*I14)*-1</f>
        <v>-7625605.18826413</v>
      </c>
      <c r="J15" s="4">
        <f>(J4*J14)*-1</f>
        <v>-10389693.6301244</v>
      </c>
      <c r="K15" s="4">
        <f>(K4*K14)*-1</f>
        <v>-11578785.2264701</v>
      </c>
      <c r="L15" s="4">
        <f>(L4*L14)*-1</f>
        <v>-12856406.2624506</v>
      </c>
      <c r="M15" s="4">
        <f>(M4*M14)*-1</f>
        <v>-14175021.2380287</v>
      </c>
      <c r="N15" s="4">
        <f>(N4*N14)*-1</f>
        <v>-14937133.2409637</v>
      </c>
    </row>
    <row r="16" ht="20.05" customHeight="1">
      <c r="A16" t="s" s="7">
        <v>138</v>
      </c>
      <c r="B16" t="s" s="7">
        <v>18</v>
      </c>
      <c r="C16" s="4">
        <f>C15*0.15</f>
        <v>0</v>
      </c>
      <c r="D16" s="4">
        <f>D15*0.15</f>
        <v>0</v>
      </c>
      <c r="E16" s="4">
        <f>E15*0.15</f>
        <v>0</v>
      </c>
      <c r="F16" s="4">
        <f>F15*0.15</f>
        <v>0</v>
      </c>
      <c r="G16" s="4">
        <f>G15*0.15</f>
        <v>0</v>
      </c>
      <c r="H16" s="4">
        <f>H15*0.15</f>
        <v>0</v>
      </c>
      <c r="I16" s="4">
        <f>I15*0.15</f>
        <v>-1143840.77823962</v>
      </c>
      <c r="J16" s="4">
        <f>J15*0.15</f>
        <v>-1558454.04451866</v>
      </c>
      <c r="K16" s="4">
        <f>K15*0.15</f>
        <v>-1736817.78397051</v>
      </c>
      <c r="L16" s="4">
        <f>L15*0.15</f>
        <v>-1928460.93936759</v>
      </c>
      <c r="M16" s="4">
        <f>M15*0.15</f>
        <v>-2126253.1857043</v>
      </c>
      <c r="N16" s="4">
        <f>N15*0.15</f>
        <v>-2240569.98614455</v>
      </c>
    </row>
    <row r="17" ht="20.05" customHeight="1">
      <c r="A17" t="s" s="5">
        <v>139</v>
      </c>
      <c r="B17" t="s" s="5">
        <v>18</v>
      </c>
      <c r="C17" s="8">
        <f>SUM(C15:C16)+C13</f>
        <v>61480000</v>
      </c>
      <c r="D17" s="8">
        <f>SUM(D15:D16)+D13</f>
        <v>54980000</v>
      </c>
      <c r="E17" s="8">
        <f>SUM(E15:E16)+E13</f>
        <v>49980000</v>
      </c>
      <c r="F17" s="8">
        <f>SUM(F15:F16)+F13</f>
        <v>49980000</v>
      </c>
      <c r="G17" s="8">
        <f>SUM(G15:G16)+G13</f>
        <v>49980000</v>
      </c>
      <c r="H17" s="8">
        <f>SUM(H15:H16)+H13</f>
        <v>49980000</v>
      </c>
      <c r="I17" s="8">
        <f>SUM(I15:I16)+I13</f>
        <v>41350554.0334963</v>
      </c>
      <c r="J17" s="8">
        <f>SUM(J15:J16)+J13</f>
        <v>-11948147.6746431</v>
      </c>
      <c r="K17" s="8">
        <f>SUM(K15:K16)+K13</f>
        <v>-13315603.0104406</v>
      </c>
      <c r="L17" s="8">
        <f>SUM(L15:L16)+L13</f>
        <v>-14784867.2018182</v>
      </c>
      <c r="M17" s="8">
        <f>SUM(M15:M16)+M13</f>
        <v>-16301274.423733</v>
      </c>
      <c r="N17" s="8">
        <f>SUM(N15:N16)+N13</f>
        <v>-17177703.2271083</v>
      </c>
    </row>
    <row r="18" ht="20.05" customHeight="1">
      <c r="A18" s="6"/>
      <c r="B18" s="6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ht="20.05" customHeight="1">
      <c r="A19" t="s" s="5">
        <v>140</v>
      </c>
      <c r="B19" t="s" s="5">
        <v>18</v>
      </c>
      <c r="C19" s="8">
        <f>C17+C10+C6</f>
        <v>61480000</v>
      </c>
      <c r="D19" s="8">
        <f>D17+D10+D6</f>
        <v>8198433.8709677</v>
      </c>
      <c r="E19" s="8">
        <f>E17+E10+E6</f>
        <v>11741706.2903227</v>
      </c>
      <c r="F19" s="8">
        <f>F17+F10+F6</f>
        <v>18044523.4233874</v>
      </c>
      <c r="G19" s="8">
        <f>G17+G10+G6</f>
        <v>27384961.0209676</v>
      </c>
      <c r="H19" s="8">
        <f>H17+H10+H6</f>
        <v>38193233.9038303</v>
      </c>
      <c r="I19" s="8">
        <f>I17+I10+I6</f>
        <v>42039974.7865528</v>
      </c>
      <c r="J19" s="8">
        <f>J17+J10+J6</f>
        <v>2998960.1791876</v>
      </c>
      <c r="K19" s="8">
        <f>K17+K10+K6</f>
        <v>56507871.2287732</v>
      </c>
      <c r="L19" s="8">
        <f>L17+L10+L6</f>
        <v>60024091.1813174</v>
      </c>
      <c r="M19" s="8">
        <f>M17+M10+M6</f>
        <v>63782143.8617149</v>
      </c>
      <c r="N19" s="8">
        <f>N17+N10+N6</f>
        <v>65904163.0700798</v>
      </c>
    </row>
    <row r="20" ht="20.05" customHeight="1">
      <c r="A20" s="6"/>
      <c r="B20" s="6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20.05" customHeight="1">
      <c r="A21" t="s" s="5">
        <v>141</v>
      </c>
      <c r="B21" t="s" s="5">
        <v>18</v>
      </c>
      <c r="C21" s="8">
        <v>0</v>
      </c>
      <c r="D21" s="8">
        <f>C22</f>
        <v>61480000</v>
      </c>
      <c r="E21" s="8">
        <f>D22</f>
        <v>69678433.8709677</v>
      </c>
      <c r="F21" s="8">
        <f>E22</f>
        <v>81420140.16129041</v>
      </c>
      <c r="G21" s="8">
        <f>F22</f>
        <v>99464663.5846778</v>
      </c>
      <c r="H21" s="8">
        <f>G22</f>
        <v>126849624.605645</v>
      </c>
      <c r="I21" s="8">
        <f>H22</f>
        <v>165042858.509475</v>
      </c>
      <c r="J21" s="8">
        <f>I22</f>
        <v>207082833.296028</v>
      </c>
      <c r="K21" s="8">
        <f>J22</f>
        <v>210081793.475216</v>
      </c>
      <c r="L21" s="8">
        <f>K22</f>
        <v>266589664.703989</v>
      </c>
      <c r="M21" s="8">
        <f>L22</f>
        <v>326613755.885306</v>
      </c>
      <c r="N21" s="8">
        <f>M22</f>
        <v>390395899.747021</v>
      </c>
    </row>
    <row r="22" ht="20.05" customHeight="1">
      <c r="A22" t="s" s="7">
        <v>142</v>
      </c>
      <c r="B22" t="s" s="5">
        <v>18</v>
      </c>
      <c r="C22" s="4">
        <f>C17+C10+C6</f>
        <v>61480000</v>
      </c>
      <c r="D22" s="4">
        <f>D19+D21</f>
        <v>69678433.8709677</v>
      </c>
      <c r="E22" s="4">
        <f>E19+E21</f>
        <v>81420140.16129041</v>
      </c>
      <c r="F22" s="4">
        <f>F19+F21</f>
        <v>99464663.5846778</v>
      </c>
      <c r="G22" s="4">
        <f>G19+G21</f>
        <v>126849624.605645</v>
      </c>
      <c r="H22" s="4">
        <f>H19+H21</f>
        <v>165042858.509475</v>
      </c>
      <c r="I22" s="4">
        <f>I19+I21</f>
        <v>207082833.296028</v>
      </c>
      <c r="J22" s="4">
        <f>J19+J21</f>
        <v>210081793.475216</v>
      </c>
      <c r="K22" s="4">
        <f>K19+K21</f>
        <v>266589664.703989</v>
      </c>
      <c r="L22" s="4">
        <f>L19+L21</f>
        <v>326613755.885306</v>
      </c>
      <c r="M22" s="4">
        <f>M19+M21</f>
        <v>390395899.747021</v>
      </c>
      <c r="N22" s="4">
        <f>N19+N21</f>
        <v>456300062.817101</v>
      </c>
    </row>
    <row r="23" ht="20.05" customHeight="1">
      <c r="A23" s="6"/>
      <c r="B23" s="6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</sheetData>
  <conditionalFormatting sqref="C1:N1 C3:N23">
    <cfRule type="cellIs" dxfId="4" priority="1" operator="lessThan" stopIfTrue="1">
      <formula>0</formula>
    </cfRule>
  </conditionalFormatting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