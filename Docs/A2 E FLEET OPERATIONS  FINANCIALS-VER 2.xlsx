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LANCE SHEET" sheetId="1" r:id="rId4"/>
    <sheet name="SOURCE_USE OF FUNDS" sheetId="2" r:id="rId5"/>
    <sheet name="VALUATION SUMMARY" sheetId="3" r:id="rId6"/>
    <sheet name="KEY METRICS" sheetId="4" r:id="rId7"/>
    <sheet name="ASSUMPTIONS_DATA" sheetId="5" r:id="rId8"/>
    <sheet name="POWER CALCULATIONS" sheetId="6" r:id="rId9"/>
    <sheet name="CAPEX &amp; DEPRECIATION" sheetId="7" r:id="rId10"/>
    <sheet name="REVENUE PROJECTION" sheetId="8" r:id="rId11"/>
    <sheet name="INCOME STATEMENT " sheetId="9" r:id="rId12"/>
    <sheet name="CASH FLOW" sheetId="10" r:id="rId13"/>
  </sheets>
</workbook>
</file>

<file path=xl/sharedStrings.xml><?xml version="1.0" encoding="utf-8"?>
<sst xmlns="http://schemas.openxmlformats.org/spreadsheetml/2006/main" uniqueCount="193">
  <si>
    <t xml:space="preserve">A2 - E CHARGING &amp; BATTERY SWAPPING - REVENUE PROJECTION </t>
  </si>
  <si>
    <t>DESCRIPTION</t>
  </si>
  <si>
    <t>UNIT</t>
  </si>
  <si>
    <t>CY-2026</t>
  </si>
  <si>
    <t>CY-2027</t>
  </si>
  <si>
    <t>CY-2028</t>
  </si>
  <si>
    <t>CY-2029</t>
  </si>
  <si>
    <t>CY-2030</t>
  </si>
  <si>
    <t>CY-2031</t>
  </si>
  <si>
    <t>CY-2032</t>
  </si>
  <si>
    <t>CY-2033</t>
  </si>
  <si>
    <t>CY-2034</t>
  </si>
  <si>
    <t>CY-2035</t>
  </si>
  <si>
    <t>CY-2036</t>
  </si>
  <si>
    <t>CY-2037</t>
  </si>
  <si>
    <t>ASSETS</t>
  </si>
  <si>
    <t>CURRENT ASSETS</t>
  </si>
  <si>
    <t>CASH &amp; CASH EQUAVALENTS</t>
  </si>
  <si>
    <t>USD</t>
  </si>
  <si>
    <t>TOTAL CURRENT ASSETS</t>
  </si>
  <si>
    <t>NON-CURRENT ASSETS</t>
  </si>
  <si>
    <t>CHARGING/SWAPPING STATIONS</t>
  </si>
  <si>
    <t>CHARGERS</t>
  </si>
  <si>
    <t>SOFTWARE &amp; PLATFORM DEVELOPMENT</t>
  </si>
  <si>
    <t>HARDWARE &amp; OFFICE EQUIPMENT</t>
  </si>
  <si>
    <t>TOTAL NON-CURRENT ASSETS</t>
  </si>
  <si>
    <t>TOTAL ASSETS</t>
  </si>
  <si>
    <t>LIABILITIES</t>
  </si>
  <si>
    <t>EQUITY</t>
  </si>
  <si>
    <t>RETAINED EARNINGS</t>
  </si>
  <si>
    <t>TOTAL EQUITY</t>
  </si>
  <si>
    <t>TOTAL LIABILITIES</t>
  </si>
  <si>
    <t>A2 - E CHARGING  - SOURCES &amp; USE OF FUNDS</t>
  </si>
  <si>
    <t>SOURCE OF FUNDS:</t>
  </si>
  <si>
    <t>EQUITY-INVESTOR SUBSCRIPTION (25%)</t>
  </si>
  <si>
    <t>CHANGE IN EQUITY</t>
  </si>
  <si>
    <t>USE OF FUNDS:</t>
  </si>
  <si>
    <t>SWAPPING BAYS</t>
  </si>
  <si>
    <t>OPERATING  RESERVE ( 10% OF FUNDS)</t>
  </si>
  <si>
    <t xml:space="preserve">CONTINGENCY RESERVE </t>
  </si>
  <si>
    <t>TOTAL - USE OF FUNDS</t>
  </si>
  <si>
    <t>METRIC</t>
  </si>
  <si>
    <t>EBITDA</t>
  </si>
  <si>
    <t xml:space="preserve">VALUATION MULTIPLE </t>
  </si>
  <si>
    <t>ENTERPRISE VALUE</t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</si>
  <si>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NET DEBT</t>
    </r>
  </si>
  <si>
    <t>EQUITY VALUE</t>
  </si>
  <si>
    <t>INVESTOR 25% STAKE VALUE</t>
  </si>
  <si>
    <t>MOIC</t>
  </si>
  <si>
    <t>IRR</t>
  </si>
  <si>
    <t>%</t>
  </si>
  <si>
    <t>EBITDA MARGIN</t>
  </si>
  <si>
    <t>NET MARGIN</t>
  </si>
  <si>
    <t>ROE</t>
  </si>
  <si>
    <t>A2 - E BATTERY SWAPPING / FLEET OPERATIONS - ASSUMPTIONS/DATA</t>
  </si>
  <si>
    <t>QUANTITY</t>
  </si>
  <si>
    <t>MAXIMUM DISTANCE BETWEEN CHARGING STATIONS</t>
  </si>
  <si>
    <t>KMS</t>
  </si>
  <si>
    <t xml:space="preserve">NUMBER OF STATIONS </t>
  </si>
  <si>
    <t>NUMBER</t>
  </si>
  <si>
    <t>NUMBER OF TRUCKS ADDED</t>
  </si>
  <si>
    <t>NUMBER OF TRUCKS CUMALATIVE</t>
  </si>
  <si>
    <t>NUMBER OF SWAPS PER TRUCK PER DAY</t>
  </si>
  <si>
    <t>NUMBER OF TOTAL SWAPS PER DAY</t>
  </si>
  <si>
    <t>NUMBER OF MINUTES PER SWAP</t>
  </si>
  <si>
    <t>MINUTES</t>
  </si>
  <si>
    <t>NUMBER OF SWAPS PER HOUR</t>
  </si>
  <si>
    <t>NUMBER OF HOURS OF SWAPPING PER DAY</t>
  </si>
  <si>
    <t>HOURS</t>
  </si>
  <si>
    <t>NUMBER OF SWAPS PER SWAPPING BAY PER DAY</t>
  </si>
  <si>
    <t>NUMBER OF BATTERY PACKS TO SWAP PER DAY</t>
  </si>
  <si>
    <t xml:space="preserve">NUMBER OF HOURS/DAY OF CHARGING PER CHARGER </t>
  </si>
  <si>
    <t>NUMBER OF BATTERY PACKS CHARGED PER CHARGER PER DAY</t>
  </si>
  <si>
    <t xml:space="preserve">NUMBER OF CHARGERS REQUIRED </t>
  </si>
  <si>
    <t>NUMBER OF CHARGERS PER STATION</t>
  </si>
  <si>
    <t>NUMBER OF SWAPPING BAYS PER STATION</t>
  </si>
  <si>
    <t>NUMBER OF BATTERY PACKS PER TRUCK</t>
  </si>
  <si>
    <t>NUMBER OF BATTERY PACKS REQUIRED</t>
  </si>
  <si>
    <t xml:space="preserve">BATTERY PACK REPLACEMENT </t>
  </si>
  <si>
    <t>TOTAL NUMBER OF BATTERY PACKS</t>
  </si>
  <si>
    <t>COST PER CHARGING/SWAPPING STATION</t>
  </si>
  <si>
    <t>COST PER CHARGER</t>
  </si>
  <si>
    <t>COST OF SWAPPING BAY</t>
  </si>
  <si>
    <t>COST PER BATTERY PACK</t>
  </si>
  <si>
    <t>COST PER TRUCK</t>
  </si>
  <si>
    <t>TOTAL COST OF CHARGING/SWAPPING STATIONS</t>
  </si>
  <si>
    <t>TOTAL COST OF CHARGERS</t>
  </si>
  <si>
    <t>TOTAL COST OF SWAPPING BAYS</t>
  </si>
  <si>
    <t>TOTAL COST OF  BATTERY PACKS</t>
  </si>
  <si>
    <t>TOTAL COST OF  TRUCKS</t>
  </si>
  <si>
    <t>TOTAL INVESTMENT</t>
  </si>
  <si>
    <t>A2 - E BATTERY SWAPPING / FLEET OPERATIONS -POWER CALCULATIONS</t>
  </si>
  <si>
    <t>NUMBER OF TRUCKS</t>
  </si>
  <si>
    <t>AVERAGE KILOMETRES PER TRUCK PER YEAR</t>
  </si>
  <si>
    <t>KM</t>
  </si>
  <si>
    <t>TOTAL KILOMETRES OF FLEET</t>
  </si>
  <si>
    <t>BATTERY CAPACITY PER TRUCK</t>
  </si>
  <si>
    <t>KWh</t>
  </si>
  <si>
    <t>RATED RANGE PER CHARGE</t>
  </si>
  <si>
    <t>REAL USE RANGE PER CHARGE</t>
  </si>
  <si>
    <t>ENERGY USED PER KM</t>
  </si>
  <si>
    <t>ANNUAL ENERGY USE PER TRUCK</t>
  </si>
  <si>
    <t>MWh</t>
  </si>
  <si>
    <t>TOTAL ENERGY USE FOR FLEET</t>
  </si>
  <si>
    <t>CHARGING TIME PER BATTERY PACK</t>
  </si>
  <si>
    <t>POWER LOAD PER CHARGE</t>
  </si>
  <si>
    <t>POWER INPUT PER CHARGE (KWh/h)</t>
  </si>
  <si>
    <t>KW</t>
  </si>
  <si>
    <t>COMPENSATION FOR THERMAL AND CHEMICAL CONVERSION LOSS</t>
  </si>
  <si>
    <t xml:space="preserve">AVERAGE RESIDUAL CHARGE </t>
  </si>
  <si>
    <t>ACTUAL CHARGING LOAD</t>
  </si>
  <si>
    <t>NET POWER INPUT PER CHARGE</t>
  </si>
  <si>
    <t>NUMBER OF HOURS OF CHARGING PER DAY</t>
  </si>
  <si>
    <t>TOTAL POWER PER CHARGER PERDAY</t>
  </si>
  <si>
    <t>NUMBER OF CHARGERS</t>
  </si>
  <si>
    <t>TOTAL POWER PER DAY</t>
  </si>
  <si>
    <t>TOTAL CONNECTED POWER</t>
  </si>
  <si>
    <t>MW</t>
  </si>
  <si>
    <t>TOTAL POWER UNITS CONSUMED PER YEAR</t>
  </si>
  <si>
    <t xml:space="preserve">PURCHASE RATE PER KW </t>
  </si>
  <si>
    <t>ETB</t>
  </si>
  <si>
    <t>COST OF POWER</t>
  </si>
  <si>
    <t xml:space="preserve">A2 - E CHARGING &amp; BATTERY SWAPPING- CAPEX &amp; DEPRECIATION </t>
  </si>
  <si>
    <t>ASSET TYPE</t>
  </si>
  <si>
    <t>USEFUL LIFE (YEARS)</t>
  </si>
  <si>
    <t>CIVIL WORKS, TRANSFORMERS</t>
  </si>
  <si>
    <t>CHARGERS, CONNECTORS, POWER ELECTRONICS</t>
  </si>
  <si>
    <t>DATA CENTRE, ADMIN OFFICE</t>
  </si>
  <si>
    <t>TOTAL-CAPEX</t>
  </si>
  <si>
    <t xml:space="preserve">LESS: DEPRECIATION </t>
  </si>
  <si>
    <t>CAPEX - CLOSING BALANCE</t>
  </si>
  <si>
    <t>DEPRECIATION GRID</t>
  </si>
  <si>
    <t>YEAR OF ADDITION</t>
  </si>
  <si>
    <r>
      <rPr>
        <b val="1"/>
        <sz val="10"/>
        <color indexed="8"/>
        <rFont val="Helvetica Neue"/>
      </rPr>
      <t>CY-2026</t>
    </r>
  </si>
  <si>
    <t>ADDITION 1</t>
  </si>
  <si>
    <r>
      <rPr>
        <b val="1"/>
        <sz val="10"/>
        <color indexed="8"/>
        <rFont val="Helvetica Neue"/>
      </rPr>
      <t>CY-2027</t>
    </r>
  </si>
  <si>
    <t>ADDITION 2</t>
  </si>
  <si>
    <r>
      <rPr>
        <b val="1"/>
        <sz val="10"/>
        <color indexed="8"/>
        <rFont val="Helvetica Neue"/>
      </rPr>
      <t>CY-2028</t>
    </r>
  </si>
  <si>
    <t>ADDITION 3</t>
  </si>
  <si>
    <r>
      <rPr>
        <b val="1"/>
        <sz val="10"/>
        <color indexed="8"/>
        <rFont val="Helvetica Neue"/>
      </rPr>
      <t>CY-2029</t>
    </r>
  </si>
  <si>
    <t>ADDITION 4</t>
  </si>
  <si>
    <r>
      <rPr>
        <b val="1"/>
        <sz val="10"/>
        <color indexed="8"/>
        <rFont val="Helvetica Neue"/>
      </rPr>
      <t>CY-2030</t>
    </r>
  </si>
  <si>
    <t>ADDITION 5</t>
  </si>
  <si>
    <r>
      <rPr>
        <b val="1"/>
        <sz val="10"/>
        <color indexed="8"/>
        <rFont val="Helvetica Neue"/>
      </rPr>
      <t>CY-2031</t>
    </r>
  </si>
  <si>
    <t>ADDITION 6</t>
  </si>
  <si>
    <r>
      <rPr>
        <b val="1"/>
        <sz val="10"/>
        <color indexed="8"/>
        <rFont val="Helvetica Neue"/>
      </rPr>
      <t>CY-2032</t>
    </r>
  </si>
  <si>
    <t>ADDITION 7</t>
  </si>
  <si>
    <r>
      <rPr>
        <b val="1"/>
        <sz val="10"/>
        <color indexed="8"/>
        <rFont val="Helvetica Neue"/>
      </rPr>
      <t>CY-2033</t>
    </r>
  </si>
  <si>
    <t>TOTAL</t>
  </si>
  <si>
    <t>ADDITION 8</t>
  </si>
  <si>
    <t>ADDITION 9</t>
  </si>
  <si>
    <t>ADDITION 10</t>
  </si>
  <si>
    <t>TOTAL DEPRECIATION</t>
  </si>
  <si>
    <t>ASSET VALUE</t>
  </si>
  <si>
    <t>BATTERY PACKS</t>
  </si>
  <si>
    <t>NO OF POWER UNITS SOLD</t>
  </si>
  <si>
    <t xml:space="preserve">NUMBER OF USERS - SOFTWARE SUBSCRIPTION </t>
  </si>
  <si>
    <t>SALE PRICE PER UNIT</t>
  </si>
  <si>
    <t>REVENUE FROM POWER SALES</t>
  </si>
  <si>
    <t>REVENUE FROM SUBSCRIPTIONS</t>
  </si>
  <si>
    <t>REVENUE</t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</si>
  <si>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COST OF POWER PURCHASE FROM EEP</t>
    </r>
  </si>
  <si>
    <t>GROSS MARGIN</t>
  </si>
  <si>
    <r>
      <rPr>
        <b val="1"/>
        <sz val="10"/>
        <color indexed="8"/>
        <rFont val="Helvetica Neue"/>
      </rPr>
      <t>ADD:</t>
    </r>
    <r>
      <rPr>
        <sz val="10"/>
        <color indexed="8"/>
        <rFont val="Helvetica Neue"/>
      </rPr>
      <t xml:space="preserve"> PLATFORM REVENUE ( SUBSCRIPTIONS)</t>
    </r>
  </si>
  <si>
    <t>GROSS PROFIT</t>
  </si>
  <si>
    <r>
      <rPr>
        <b val="1"/>
        <sz val="10"/>
        <color indexed="8"/>
        <rFont val="Helvetica Neue"/>
      </rPr>
      <t xml:space="preserve">LESS: </t>
    </r>
    <r>
      <rPr>
        <sz val="10"/>
        <color indexed="8"/>
        <rFont val="Helvetica Neue"/>
      </rPr>
      <t>OPERATING EXPENSES</t>
    </r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</si>
  <si>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VARIABLE OPEX (6% OF REVENUE)</t>
    </r>
  </si>
  <si>
    <r>
      <rPr>
        <b val="1"/>
        <sz val="10"/>
        <color indexed="8"/>
        <rFont val="Helvetica Neue"/>
      </rPr>
      <t xml:space="preserve">LESS: </t>
    </r>
    <r>
      <rPr>
        <sz val="10"/>
        <color indexed="8"/>
        <rFont val="Helvetica Neue"/>
      </rPr>
      <t>BATTERY LEASE CHARGES</t>
    </r>
  </si>
  <si>
    <t>DEPRECIATION</t>
  </si>
  <si>
    <t>EBT</t>
  </si>
  <si>
    <t>TAX @ 30%</t>
  </si>
  <si>
    <t>EAT (NET INCOME)</t>
  </si>
  <si>
    <t>CUMULATIVE EAT</t>
  </si>
  <si>
    <t>RATE OF RETURN</t>
  </si>
  <si>
    <t>EXIT VALUE</t>
  </si>
  <si>
    <t>INVESTOR EAT (NET INCOME) 25%</t>
  </si>
  <si>
    <t>INVESTOR RATE OF RETURN 25%</t>
  </si>
  <si>
    <t>OPERATING ACTIVITIES</t>
  </si>
  <si>
    <t>NET INCOME</t>
  </si>
  <si>
    <r>
      <rPr>
        <b val="1"/>
        <sz val="10"/>
        <color indexed="8"/>
        <rFont val="Helvetica Neue"/>
      </rPr>
      <t xml:space="preserve">ADD: </t>
    </r>
    <r>
      <rPr>
        <sz val="10"/>
        <color indexed="8"/>
        <rFont val="Helvetica Neue"/>
      </rPr>
      <t>DEPRECIATION</t>
    </r>
  </si>
  <si>
    <t>NET CASH FROM OPERATIONS</t>
  </si>
  <si>
    <t>INVESTING ACTIVITIES</t>
  </si>
  <si>
    <t>CAPEX</t>
  </si>
  <si>
    <t>NET CASH FROM INVESTING</t>
  </si>
  <si>
    <t>FINANCING ACTIVITIES</t>
  </si>
  <si>
    <t>EQUITY INJECTION</t>
  </si>
  <si>
    <t xml:space="preserve">DIVIDEND </t>
  </si>
  <si>
    <t>DIVIDEND</t>
  </si>
  <si>
    <t>DIVIDEND TAX @ 15%</t>
  </si>
  <si>
    <t>NET CASH FROM FINANCING</t>
  </si>
  <si>
    <t>NET CHANGE IN CASH</t>
  </si>
  <si>
    <t>CASH-OPENING BALANCE</t>
  </si>
  <si>
    <r>
      <rPr>
        <b val="1"/>
        <sz val="10"/>
        <color indexed="8"/>
        <rFont val="Helvetica Neue"/>
      </rPr>
      <t>CASH-CLOSING BALANCE</t>
    </r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</si>
</sst>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.00&quot; &quot;;(#,##0.00)"/>
    <numFmt numFmtId="60" formatCode="#,##0.00%&quot; &quot;;(#,##0.00%)"/>
    <numFmt numFmtId="61" formatCode="#,##0.0"/>
    <numFmt numFmtId="62" formatCode="#,##0.0000"/>
    <numFmt numFmtId="63" formatCode="#,##0.000"/>
    <numFmt numFmtId="64" formatCode="#,##0.00%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59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2" borderId="1" applyNumberFormat="1" applyFont="1" applyFill="1" applyBorder="1" applyAlignment="1" applyProtection="0">
      <alignment vertical="top" wrapText="1"/>
    </xf>
    <xf numFmtId="4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0" fontId="0" fillId="2" borderId="1" applyNumberFormat="1" applyFont="1" applyFill="1" applyBorder="1" applyAlignment="1" applyProtection="0">
      <alignment vertical="top" wrapText="1"/>
    </xf>
    <xf numFmtId="60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vertical="top" wrapText="1"/>
    </xf>
    <xf numFmtId="3" fontId="0" fillId="2" borderId="1" applyNumberFormat="1" applyFont="1" applyFill="1" applyBorder="1" applyAlignment="1" applyProtection="0">
      <alignment vertical="top" wrapText="1"/>
    </xf>
    <xf numFmtId="61" fontId="0" fillId="2" borderId="1" applyNumberFormat="1" applyFont="1" applyFill="1" applyBorder="1" applyAlignment="1" applyProtection="0">
      <alignment vertical="top" wrapText="1"/>
    </xf>
    <xf numFmtId="62" fontId="0" fillId="2" borderId="1" applyNumberFormat="1" applyFont="1" applyFill="1" applyBorder="1" applyAlignment="1" applyProtection="0">
      <alignment vertical="top" wrapText="1"/>
    </xf>
    <xf numFmtId="62" fontId="3" fillId="2" borderId="1" applyNumberFormat="1" applyFont="1" applyFill="1" applyBorder="1" applyAlignment="1" applyProtection="0">
      <alignment vertical="top" wrapText="1"/>
    </xf>
    <xf numFmtId="63" fontId="0" fillId="2" borderId="1" applyNumberFormat="1" applyFont="1" applyFill="1" applyBorder="1" applyAlignment="1" applyProtection="0">
      <alignment vertical="top" wrapText="1"/>
    </xf>
    <xf numFmtId="64" fontId="0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2" borderId="13" applyNumberFormat="1" applyFont="1" applyFill="1" applyBorder="1" applyAlignment="1" applyProtection="0">
      <alignment vertical="top" wrapText="1"/>
    </xf>
    <xf numFmtId="49" fontId="3" fillId="2" borderId="14" applyNumberFormat="1" applyFont="1" applyFill="1" applyBorder="1" applyAlignment="1" applyProtection="0">
      <alignment vertical="top" wrapText="1"/>
    </xf>
    <xf numFmtId="59" fontId="3" fillId="2" borderId="15" applyNumberFormat="1" applyFont="1" applyFill="1" applyBorder="1" applyAlignment="1" applyProtection="0">
      <alignment vertical="top" wrapText="1"/>
    </xf>
    <xf numFmtId="59" fontId="3" fillId="2" borderId="16" applyNumberFormat="1" applyFont="1" applyFill="1" applyBorder="1" applyAlignment="1" applyProtection="0">
      <alignment vertical="top" wrapText="1"/>
    </xf>
    <xf numFmtId="59" fontId="3" fillId="2" borderId="17" applyNumberFormat="1" applyFont="1" applyFill="1" applyBorder="1" applyAlignment="1" applyProtection="0">
      <alignment vertical="top" wrapText="1"/>
    </xf>
    <xf numFmtId="59" fontId="3" fillId="2" borderId="18" applyNumberFormat="1" applyFont="1" applyFill="1" applyBorder="1" applyAlignment="1" applyProtection="0">
      <alignment vertical="top" wrapText="1"/>
    </xf>
    <xf numFmtId="59" fontId="0" fillId="2" borderId="1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ff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22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3516" style="1" customWidth="1"/>
    <col min="2" max="2" width="8.85156" style="1" customWidth="1"/>
    <col min="3" max="14" width="16.1719" style="1" customWidth="1"/>
    <col min="15" max="16384" width="16.3516" style="1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</row>
    <row r="3" ht="20.05" customHeight="1">
      <c r="A3" t="s" s="5">
        <v>15</v>
      </c>
      <c r="B3" s="6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</row>
    <row r="4" ht="20.05" customHeight="1">
      <c r="A4" t="s" s="5">
        <v>16</v>
      </c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0.05" customHeight="1">
      <c r="A5" t="s" s="7">
        <v>17</v>
      </c>
      <c r="B5" t="s" s="7">
        <v>18</v>
      </c>
      <c r="C5" s="4">
        <f>'CASH FLOW'!C22</f>
        <v>9000000</v>
      </c>
      <c r="D5" s="4">
        <f>'CASH FLOW'!D22</f>
        <v>15267232.516129</v>
      </c>
      <c r="E5" s="4">
        <f>'CASH FLOW'!E22</f>
        <v>20503036.5909676</v>
      </c>
      <c r="F5" s="4">
        <f>'CASH FLOW'!F22</f>
        <v>30204124.8144515</v>
      </c>
      <c r="G5" s="4">
        <f>'CASH FLOW'!G22</f>
        <v>45344502.8755612</v>
      </c>
      <c r="H5" s="4">
        <f>'CASH FLOW'!H22</f>
        <v>66901321.4595872</v>
      </c>
      <c r="I5" s="4">
        <f>'CASH FLOW'!I22</f>
        <v>95591197.19050141</v>
      </c>
      <c r="J5" s="4">
        <f>'CASH FLOW'!J22</f>
        <v>132611115.505727</v>
      </c>
      <c r="K5" s="4">
        <f>'CASH FLOW'!K22</f>
        <v>172001119.012476</v>
      </c>
      <c r="L5" s="4">
        <f>'CASH FLOW'!L22</f>
        <v>213652154.9019</v>
      </c>
      <c r="M5" s="4">
        <f>'CASH FLOW'!M22</f>
        <v>257746332.818666</v>
      </c>
      <c r="N5" s="4">
        <f>'CASH FLOW'!N22</f>
        <v>302147867.965693</v>
      </c>
    </row>
    <row r="6" ht="20.05" customHeight="1">
      <c r="A6" t="s" s="5">
        <v>19</v>
      </c>
      <c r="B6" t="s" s="5">
        <v>18</v>
      </c>
      <c r="C6" s="8">
        <f>C5</f>
        <v>9000000</v>
      </c>
      <c r="D6" s="8">
        <f>D5</f>
        <v>15267232.516129</v>
      </c>
      <c r="E6" s="8">
        <f>E5</f>
        <v>20503036.5909676</v>
      </c>
      <c r="F6" s="8">
        <f>F5</f>
        <v>30204124.8144515</v>
      </c>
      <c r="G6" s="8">
        <f>G5</f>
        <v>45344502.8755612</v>
      </c>
      <c r="H6" s="8">
        <f>H5</f>
        <v>66901321.4595872</v>
      </c>
      <c r="I6" s="8">
        <f>I5</f>
        <v>95591197.19050141</v>
      </c>
      <c r="J6" s="8">
        <f>J5</f>
        <v>132611115.505727</v>
      </c>
      <c r="K6" s="8">
        <f>K5</f>
        <v>172001119.012476</v>
      </c>
      <c r="L6" s="8">
        <f>L5</f>
        <v>213652154.9019</v>
      </c>
      <c r="M6" s="8">
        <f>M5</f>
        <v>257746332.818666</v>
      </c>
      <c r="N6" s="8">
        <f>N5</f>
        <v>302147867.965693</v>
      </c>
    </row>
    <row r="7" ht="20.0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20.05" customHeight="1">
      <c r="A8" t="s" s="5">
        <v>20</v>
      </c>
      <c r="B8" s="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20.05" customHeight="1">
      <c r="A9" t="s" s="7">
        <v>21</v>
      </c>
      <c r="B9" t="s" s="7">
        <v>18</v>
      </c>
      <c r="C9" s="4">
        <f>'CAPEX &amp; DEPRECIATION'!E3</f>
        <v>7000000</v>
      </c>
      <c r="D9" s="4">
        <f>'CAPEX &amp; DEPRECIATION'!F49</f>
        <v>6416666.66666667</v>
      </c>
      <c r="E9" s="4">
        <f>'CAPEX &amp; DEPRECIATION'!G49</f>
        <v>5833333.33333334</v>
      </c>
      <c r="F9" s="4">
        <f>'CAPEX &amp; DEPRECIATION'!H49</f>
        <v>5250000.00000001</v>
      </c>
      <c r="G9" s="4">
        <f>'CAPEX &amp; DEPRECIATION'!I49</f>
        <v>4666666.66666668</v>
      </c>
      <c r="H9" s="4">
        <f>'CAPEX &amp; DEPRECIATION'!J49</f>
        <v>4083333.33333335</v>
      </c>
      <c r="I9" s="4">
        <f>'CAPEX &amp; DEPRECIATION'!K49</f>
        <v>3500000.00000002</v>
      </c>
      <c r="J9" s="4">
        <f>'CAPEX &amp; DEPRECIATION'!L49</f>
        <v>2916666.66666669</v>
      </c>
      <c r="K9" s="4">
        <f>'CAPEX &amp; DEPRECIATION'!M49</f>
        <v>2916666.66666669</v>
      </c>
      <c r="L9" s="4">
        <f>'CAPEX &amp; DEPRECIATION'!N49</f>
        <v>2916666.66666669</v>
      </c>
      <c r="M9" s="4">
        <f>'CAPEX &amp; DEPRECIATION'!O49</f>
        <v>2916666.66666669</v>
      </c>
      <c r="N9" s="4">
        <f>'CAPEX &amp; DEPRECIATION'!P49</f>
        <v>2916666.66666669</v>
      </c>
    </row>
    <row r="10" ht="20.05" customHeight="1">
      <c r="A10" t="s" s="7">
        <v>22</v>
      </c>
      <c r="B10" t="s" s="7">
        <v>18</v>
      </c>
      <c r="C10" s="4">
        <f>'CAPEX &amp; DEPRECIATION'!E4</f>
        <v>10200000</v>
      </c>
      <c r="D10" s="4">
        <f>'CAPEX &amp; DEPRECIATION'!F50</f>
        <v>9350000</v>
      </c>
      <c r="E10" s="4">
        <f>'CAPEX &amp; DEPRECIATION'!G50</f>
        <v>27200000</v>
      </c>
      <c r="F10" s="4">
        <f>'CAPEX &amp; DEPRECIATION'!H50</f>
        <v>52700000</v>
      </c>
      <c r="G10" s="4">
        <f>'CAPEX &amp; DEPRECIATION'!I50</f>
        <v>85000000</v>
      </c>
      <c r="H10" s="4">
        <f>'CAPEX &amp; DEPRECIATION'!J50</f>
        <v>123250000</v>
      </c>
      <c r="I10" s="4">
        <f>'CAPEX &amp; DEPRECIATION'!K50</f>
        <v>167450000</v>
      </c>
      <c r="J10" s="4">
        <f>'CAPEX &amp; DEPRECIATION'!L50</f>
        <v>155650000</v>
      </c>
      <c r="K10" s="4">
        <f>'CAPEX &amp; DEPRECIATION'!M50</f>
        <v>132691666.666667</v>
      </c>
      <c r="L10" s="4">
        <f>'CAPEX &amp; DEPRECIATION'!N50</f>
        <v>109733333.333334</v>
      </c>
      <c r="M10" s="4">
        <f>'CAPEX &amp; DEPRECIATION'!O50</f>
        <v>86775000.0000007</v>
      </c>
      <c r="N10" s="4">
        <f>'CAPEX &amp; DEPRECIATION'!P50</f>
        <v>63816666.6666674</v>
      </c>
    </row>
    <row r="11" ht="20.05" customHeight="1">
      <c r="A11" t="s" s="7">
        <v>23</v>
      </c>
      <c r="B11" t="s" s="7">
        <v>18</v>
      </c>
      <c r="C11" s="4">
        <f>'CAPEX &amp; DEPRECIATION'!E6</f>
        <v>1000000</v>
      </c>
      <c r="D11" s="4">
        <f>'CAPEX &amp; DEPRECIATION'!F52</f>
        <v>875000</v>
      </c>
      <c r="E11" s="4">
        <f>'CAPEX &amp; DEPRECIATION'!G52</f>
        <v>1187500</v>
      </c>
      <c r="F11" s="4">
        <f>'CAPEX &amp; DEPRECIATION'!H52</f>
        <v>1437500</v>
      </c>
      <c r="G11" s="4">
        <f>'CAPEX &amp; DEPRECIATION'!I52</f>
        <v>1625000</v>
      </c>
      <c r="H11" s="4">
        <f>'CAPEX &amp; DEPRECIATION'!J52</f>
        <v>1750000</v>
      </c>
      <c r="I11" s="4">
        <f>'CAPEX &amp; DEPRECIATION'!K52</f>
        <v>1375000</v>
      </c>
      <c r="J11" s="4">
        <f>'CAPEX &amp; DEPRECIATION'!L52</f>
        <v>1000000</v>
      </c>
      <c r="K11" s="4">
        <f>'CAPEX &amp; DEPRECIATION'!M52</f>
        <v>625000</v>
      </c>
      <c r="L11" s="4">
        <f>'CAPEX &amp; DEPRECIATION'!N52</f>
        <v>375000</v>
      </c>
      <c r="M11" s="4">
        <f>'CAPEX &amp; DEPRECIATION'!O52</f>
        <v>187500</v>
      </c>
      <c r="N11" s="4">
        <f>'CAPEX &amp; DEPRECIATION'!P52</f>
        <v>0</v>
      </c>
    </row>
    <row r="12" ht="20.05" customHeight="1">
      <c r="A12" t="s" s="7">
        <v>24</v>
      </c>
      <c r="B12" t="s" s="7">
        <v>18</v>
      </c>
      <c r="C12" s="4">
        <f>'CAPEX &amp; DEPRECIATION'!E7</f>
        <v>2000000</v>
      </c>
      <c r="D12" s="4">
        <f>'CAPEX &amp; DEPRECIATION'!F53</f>
        <v>1800000</v>
      </c>
      <c r="E12" s="4">
        <f>'CAPEX &amp; DEPRECIATION'!G53</f>
        <v>1600000</v>
      </c>
      <c r="F12" s="4">
        <f>'CAPEX &amp; DEPRECIATION'!H53</f>
        <v>1400000</v>
      </c>
      <c r="G12" s="4">
        <f>'CAPEX &amp; DEPRECIATION'!I53</f>
        <v>1200000</v>
      </c>
      <c r="H12" s="4">
        <f>'CAPEX &amp; DEPRECIATION'!J53</f>
        <v>1000000</v>
      </c>
      <c r="I12" s="4">
        <f>'CAPEX &amp; DEPRECIATION'!K53</f>
        <v>800000</v>
      </c>
      <c r="J12" s="4">
        <f>'CAPEX &amp; DEPRECIATION'!L53</f>
        <v>600000</v>
      </c>
      <c r="K12" s="4">
        <f>'CAPEX &amp; DEPRECIATION'!M53</f>
        <v>400000</v>
      </c>
      <c r="L12" s="4">
        <f>'CAPEX &amp; DEPRECIATION'!N53</f>
        <v>200000</v>
      </c>
      <c r="M12" s="4">
        <f>'CAPEX &amp; DEPRECIATION'!O53</f>
        <v>0</v>
      </c>
      <c r="N12" s="4">
        <f>'CAPEX &amp; DEPRECIATION'!P53</f>
        <v>0</v>
      </c>
    </row>
    <row r="13" ht="20.05" customHeight="1">
      <c r="A13" t="s" s="5">
        <v>25</v>
      </c>
      <c r="B13" t="s" s="5">
        <v>18</v>
      </c>
      <c r="C13" s="8">
        <f>SUM(C9:C12)</f>
        <v>20200000</v>
      </c>
      <c r="D13" s="8">
        <f>SUM(D9:D12)</f>
        <v>18441666.6666667</v>
      </c>
      <c r="E13" s="8">
        <f>SUM(E9:E12)</f>
        <v>35820833.3333333</v>
      </c>
      <c r="F13" s="8">
        <f>SUM(F9:F12)</f>
        <v>60787500</v>
      </c>
      <c r="G13" s="8">
        <f>SUM(G9:G12)</f>
        <v>92491666.6666667</v>
      </c>
      <c r="H13" s="8">
        <f>SUM(H9:H12)</f>
        <v>130083333.333333</v>
      </c>
      <c r="I13" s="8">
        <f>SUM(I9:I12)</f>
        <v>173125000</v>
      </c>
      <c r="J13" s="8">
        <f>SUM(J9:J12)</f>
        <v>160166666.666667</v>
      </c>
      <c r="K13" s="8">
        <f>SUM(K9:K12)</f>
        <v>136633333.333334</v>
      </c>
      <c r="L13" s="8">
        <f>SUM(L9:L12)</f>
        <v>113225000.000001</v>
      </c>
      <c r="M13" s="8">
        <f>SUM(M9:M12)</f>
        <v>89879166.6666674</v>
      </c>
      <c r="N13" s="8">
        <f>SUM(N9:N12)</f>
        <v>66733333.3333341</v>
      </c>
    </row>
    <row r="14" ht="20.05" customHeight="1">
      <c r="A14" t="s" s="5">
        <v>26</v>
      </c>
      <c r="B14" t="s" s="5">
        <v>18</v>
      </c>
      <c r="C14" s="8">
        <f>C6+C13</f>
        <v>29200000</v>
      </c>
      <c r="D14" s="8">
        <f>D6+D13</f>
        <v>33708899.1827957</v>
      </c>
      <c r="E14" s="8">
        <f>E6+E13</f>
        <v>56323869.9243009</v>
      </c>
      <c r="F14" s="8">
        <f>F6+F13</f>
        <v>90991624.8144515</v>
      </c>
      <c r="G14" s="8">
        <f>G6+G13</f>
        <v>137836169.542228</v>
      </c>
      <c r="H14" s="8">
        <f>H6+H13</f>
        <v>196984654.79292</v>
      </c>
      <c r="I14" s="8">
        <f>I6+I13</f>
        <v>268716197.190501</v>
      </c>
      <c r="J14" s="8">
        <f>J6+J13</f>
        <v>292777782.172394</v>
      </c>
      <c r="K14" s="8">
        <f>K6+K13</f>
        <v>308634452.34581</v>
      </c>
      <c r="L14" s="8">
        <f>L6+L13</f>
        <v>326877154.901901</v>
      </c>
      <c r="M14" s="8">
        <f>M6+M13</f>
        <v>347625499.485333</v>
      </c>
      <c r="N14" s="8">
        <f>N6+N13</f>
        <v>368881201.299027</v>
      </c>
    </row>
    <row r="15" ht="20.05" customHeight="1">
      <c r="A15" s="3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20.05" customHeight="1">
      <c r="A16" t="s" s="5">
        <v>27</v>
      </c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20.05" customHeight="1">
      <c r="A17" t="s" s="7">
        <v>28</v>
      </c>
      <c r="B17" t="s" s="7">
        <v>18</v>
      </c>
      <c r="C17" s="4">
        <f>'SOURCE_USE OF FUNDS'!C6</f>
        <v>33000000</v>
      </c>
      <c r="D17" s="4">
        <f>'SOURCE_USE OF FUNDS'!D6</f>
        <v>68700000</v>
      </c>
      <c r="E17" s="4">
        <f>'SOURCE_USE OF FUNDS'!E6</f>
        <v>106800000</v>
      </c>
      <c r="F17" s="4">
        <f>'SOURCE_USE OF FUNDS'!F6</f>
        <v>157900000</v>
      </c>
      <c r="G17" s="4">
        <f>'SOURCE_USE OF FUNDS'!G6</f>
        <v>219200000</v>
      </c>
      <c r="H17" s="4">
        <f>'SOURCE_USE OF FUNDS'!H6</f>
        <v>287400000</v>
      </c>
      <c r="I17" s="4">
        <f>'SOURCE_USE OF FUNDS'!I6</f>
        <v>304700000</v>
      </c>
      <c r="J17" s="4">
        <f>'SOURCE_USE OF FUNDS'!J6</f>
        <v>307500000</v>
      </c>
      <c r="K17" s="4">
        <f>'SOURCE_USE OF FUNDS'!K6</f>
        <v>307500000</v>
      </c>
      <c r="L17" s="4">
        <f>'SOURCE_USE OF FUNDS'!L6</f>
        <v>307500000</v>
      </c>
      <c r="M17" s="4">
        <f>'SOURCE_USE OF FUNDS'!M6</f>
        <v>307500000</v>
      </c>
      <c r="N17" s="4">
        <f>'SOURCE_USE OF FUNDS'!N6</f>
        <v>307500000</v>
      </c>
    </row>
    <row r="18" ht="20.05" customHeight="1">
      <c r="A18" t="s" s="7">
        <v>29</v>
      </c>
      <c r="B18" t="s" s="7">
        <v>18</v>
      </c>
      <c r="C18" s="4">
        <f>C14-C17</f>
        <v>-3800000</v>
      </c>
      <c r="D18" s="4">
        <f>D14-D17</f>
        <v>-34991100.8172043</v>
      </c>
      <c r="E18" s="4">
        <f>E14-E17</f>
        <v>-50476130.0756991</v>
      </c>
      <c r="F18" s="4">
        <f>F14-F17</f>
        <v>-66908375.1855485</v>
      </c>
      <c r="G18" s="4">
        <f>G14-G17</f>
        <v>-81363830.457772</v>
      </c>
      <c r="H18" s="4">
        <f>H14-H17</f>
        <v>-90415345.20708001</v>
      </c>
      <c r="I18" s="4">
        <f>I14-I17</f>
        <v>-35983802.809499</v>
      </c>
      <c r="J18" s="4">
        <f>J14-J17</f>
        <v>-14722217.827606</v>
      </c>
      <c r="K18" s="4">
        <f>K14-K17</f>
        <v>1134452.34581</v>
      </c>
      <c r="L18" s="4">
        <f>L14-L17</f>
        <v>19377154.901901</v>
      </c>
      <c r="M18" s="4">
        <f>M14-M17</f>
        <v>40125499.485333</v>
      </c>
      <c r="N18" s="4">
        <f>N14-N17</f>
        <v>61381201.299027</v>
      </c>
    </row>
    <row r="19" ht="20.05" customHeight="1">
      <c r="A19" t="s" s="5">
        <v>30</v>
      </c>
      <c r="B19" s="3"/>
      <c r="C19" s="8">
        <f>C17+C18</f>
        <v>29200000</v>
      </c>
      <c r="D19" s="8">
        <f>D17+D18</f>
        <v>33708899.1827957</v>
      </c>
      <c r="E19" s="8">
        <f>E17+E18</f>
        <v>56323869.9243009</v>
      </c>
      <c r="F19" s="8">
        <f>F17+F18</f>
        <v>90991624.8144515</v>
      </c>
      <c r="G19" s="8">
        <f>G17+G18</f>
        <v>137836169.542228</v>
      </c>
      <c r="H19" s="8">
        <f>H17+H18</f>
        <v>196984654.79292</v>
      </c>
      <c r="I19" s="8">
        <f>I17+I18</f>
        <v>268716197.190501</v>
      </c>
      <c r="J19" s="8">
        <f>J17+J18</f>
        <v>292777782.172394</v>
      </c>
      <c r="K19" s="8">
        <f>K17+K18</f>
        <v>308634452.34581</v>
      </c>
      <c r="L19" s="8">
        <f>L17+L18</f>
        <v>326877154.901901</v>
      </c>
      <c r="M19" s="8">
        <f>M17+M18</f>
        <v>347625499.485333</v>
      </c>
      <c r="N19" s="8">
        <f>N17+N18</f>
        <v>368881201.299027</v>
      </c>
    </row>
    <row r="20" ht="20.05" customHeight="1">
      <c r="A20" t="s" s="5">
        <v>31</v>
      </c>
      <c r="B20" s="3"/>
      <c r="C20" s="8">
        <f>C19</f>
        <v>29200000</v>
      </c>
      <c r="D20" s="8">
        <f>D19</f>
        <v>33708899.1827957</v>
      </c>
      <c r="E20" s="8">
        <f>E19</f>
        <v>56323869.9243009</v>
      </c>
      <c r="F20" s="8">
        <f>F19</f>
        <v>90991624.8144515</v>
      </c>
      <c r="G20" s="8">
        <f>G19</f>
        <v>137836169.542228</v>
      </c>
      <c r="H20" s="8">
        <f>H19</f>
        <v>196984654.79292</v>
      </c>
      <c r="I20" s="8">
        <f>I19</f>
        <v>268716197.190501</v>
      </c>
      <c r="J20" s="8">
        <f>J19</f>
        <v>292777782.172394</v>
      </c>
      <c r="K20" s="8">
        <f>K19</f>
        <v>308634452.34581</v>
      </c>
      <c r="L20" s="8">
        <f>L19</f>
        <v>326877154.901901</v>
      </c>
      <c r="M20" s="8">
        <f>M19</f>
        <v>347625499.485333</v>
      </c>
      <c r="N20" s="8">
        <f>N19</f>
        <v>368881201.299027</v>
      </c>
    </row>
    <row r="21" ht="20.05" customHeight="1">
      <c r="A21" s="6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20.05" customHeight="1">
      <c r="A22" s="6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conditionalFormatting sqref="C1:N1 E3:N3 C4:N22">
    <cfRule type="cellIs" dxfId="0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7"/>
  <sheetViews>
    <sheetView workbookViewId="0" showGridLines="0" defaultGridColor="1"/>
  </sheetViews>
  <sheetFormatPr defaultColWidth="16.3333" defaultRowHeight="19.9" customHeight="1" outlineLevelRow="0" outlineLevelCol="0"/>
  <cols>
    <col min="1" max="1" width="49.8516" style="9" customWidth="1"/>
    <col min="2" max="14" width="16.3516" style="9" customWidth="1"/>
    <col min="15" max="16384" width="16.3516" style="9" customWidth="1"/>
  </cols>
  <sheetData>
    <row r="1" ht="20.05" customHeight="1">
      <c r="A1" t="s" s="2">
        <v>32</v>
      </c>
      <c r="B1" s="6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0.05" customHeight="1">
      <c r="A2" s="3"/>
      <c r="B2" s="6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0.0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14</v>
      </c>
    </row>
    <row r="4" ht="20.05" customHeight="1">
      <c r="A4" t="s" s="5">
        <v>33</v>
      </c>
      <c r="B4" s="6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0.05" customHeight="1">
      <c r="A5" t="s" s="7">
        <v>34</v>
      </c>
      <c r="B5" t="s" s="7">
        <v>18</v>
      </c>
      <c r="C5" s="10">
        <f>'ASSUMPTIONS_DATA'!D38-'ASSUMPTIONS_DATA'!D33-'ASSUMPTIONS_DATA'!D32+'ASSUMPTIONS_DATA'!C37</f>
        <v>33000000</v>
      </c>
      <c r="D5" s="10">
        <f>'ASSUMPTIONS_DATA'!E38-'ASSUMPTIONS_DATA'!E33-'ASSUMPTIONS_DATA'!E32</f>
        <v>35700000</v>
      </c>
      <c r="E5" s="10">
        <f>'ASSUMPTIONS_DATA'!F38-'ASSUMPTIONS_DATA'!F33-'ASSUMPTIONS_DATA'!F32</f>
        <v>38100000</v>
      </c>
      <c r="F5" s="10">
        <f>'ASSUMPTIONS_DATA'!G38-'ASSUMPTIONS_DATA'!G33-'ASSUMPTIONS_DATA'!G32</f>
        <v>51100000</v>
      </c>
      <c r="G5" s="10">
        <f>'ASSUMPTIONS_DATA'!H38-'ASSUMPTIONS_DATA'!H33-'ASSUMPTIONS_DATA'!H32</f>
        <v>61300000</v>
      </c>
      <c r="H5" s="10">
        <f>'ASSUMPTIONS_DATA'!I38-'ASSUMPTIONS_DATA'!I33-'ASSUMPTIONS_DATA'!I32</f>
        <v>68200000</v>
      </c>
      <c r="I5" s="10">
        <f>'ASSUMPTIONS_DATA'!J38-'ASSUMPTIONS_DATA'!J33-'ASSUMPTIONS_DATA'!J32</f>
        <v>17300000</v>
      </c>
      <c r="J5" s="10">
        <f>'ASSUMPTIONS_DATA'!K38-'ASSUMPTIONS_DATA'!K33-'ASSUMPTIONS_DATA'!K32</f>
        <v>2800000</v>
      </c>
      <c r="K5" s="10">
        <f>'ASSUMPTIONS_DATA'!L38-'ASSUMPTIONS_DATA'!L33-'ASSUMPTIONS_DATA'!L32</f>
        <v>0</v>
      </c>
      <c r="L5" s="10">
        <f>'ASSUMPTIONS_DATA'!M38-'ASSUMPTIONS_DATA'!M33-'ASSUMPTIONS_DATA'!M32</f>
        <v>0</v>
      </c>
      <c r="M5" s="10">
        <f>'ASSUMPTIONS_DATA'!N38-'ASSUMPTIONS_DATA'!N33-'ASSUMPTIONS_DATA'!N32</f>
        <v>0</v>
      </c>
      <c r="N5" s="10">
        <v>0</v>
      </c>
    </row>
    <row r="6" ht="20.05" customHeight="1">
      <c r="A6" t="s" s="5">
        <v>35</v>
      </c>
      <c r="B6" t="s" s="5">
        <v>18</v>
      </c>
      <c r="C6" s="11">
        <f>C5</f>
        <v>33000000</v>
      </c>
      <c r="D6" s="11">
        <f>D5+C6</f>
        <v>68700000</v>
      </c>
      <c r="E6" s="11">
        <f>E5+D6</f>
        <v>106800000</v>
      </c>
      <c r="F6" s="11">
        <f>F5+E6</f>
        <v>157900000</v>
      </c>
      <c r="G6" s="11">
        <f>G5+F6</f>
        <v>219200000</v>
      </c>
      <c r="H6" s="11">
        <f>H5+G6</f>
        <v>287400000</v>
      </c>
      <c r="I6" s="11">
        <f>I5+H6</f>
        <v>304700000</v>
      </c>
      <c r="J6" s="11">
        <f>J5+I6</f>
        <v>307500000</v>
      </c>
      <c r="K6" s="11">
        <f>K5+J6</f>
        <v>307500000</v>
      </c>
      <c r="L6" s="11">
        <f>L5+K6</f>
        <v>307500000</v>
      </c>
      <c r="M6" s="11">
        <f>M5+L6</f>
        <v>307500000</v>
      </c>
      <c r="N6" s="11">
        <f>N5+M6</f>
        <v>307500000</v>
      </c>
    </row>
    <row r="7" ht="20.05" customHeight="1">
      <c r="A7" s="6"/>
      <c r="B7" s="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0.05" customHeight="1">
      <c r="A8" t="s" s="5">
        <v>36</v>
      </c>
      <c r="B8" s="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32.05" customHeight="1">
      <c r="A9" t="s" s="7">
        <v>21</v>
      </c>
      <c r="B9" t="s" s="7">
        <v>18</v>
      </c>
      <c r="C9" s="10">
        <f>'CAPEX &amp; DEPRECIATION'!E3</f>
        <v>7000000</v>
      </c>
      <c r="D9" s="10">
        <f>'CAPEX &amp; DEPRECIATION'!F3</f>
        <v>7000000</v>
      </c>
      <c r="E9" s="10">
        <f>'CAPEX &amp; DEPRECIATION'!G3</f>
        <v>7000000</v>
      </c>
      <c r="F9" s="10">
        <f>'CAPEX &amp; DEPRECIATION'!H3</f>
        <v>7000000</v>
      </c>
      <c r="G9" s="10">
        <f>'CAPEX &amp; DEPRECIATION'!I3</f>
        <v>7000000</v>
      </c>
      <c r="H9" s="10">
        <f>'CAPEX &amp; DEPRECIATION'!J3</f>
        <v>7000000</v>
      </c>
      <c r="I9" s="10">
        <f>'CAPEX &amp; DEPRECIATION'!K3</f>
        <v>7000000</v>
      </c>
      <c r="J9" s="10">
        <f>'CAPEX &amp; DEPRECIATION'!L3</f>
        <v>0</v>
      </c>
      <c r="K9" s="10">
        <f>'CAPEX &amp; DEPRECIATION'!M3</f>
        <v>0</v>
      </c>
      <c r="L9" s="10">
        <f>'CAPEX &amp; DEPRECIATION'!N3</f>
        <v>0</v>
      </c>
      <c r="M9" s="10">
        <f>'CAPEX &amp; DEPRECIATION'!O3</f>
        <v>0</v>
      </c>
      <c r="N9" s="10">
        <f>'CAPEX &amp; DEPRECIATION'!P3</f>
        <v>0</v>
      </c>
    </row>
    <row r="10" ht="20.05" customHeight="1">
      <c r="A10" t="s" s="7">
        <v>22</v>
      </c>
      <c r="B10" t="s" s="7">
        <v>18</v>
      </c>
      <c r="C10" s="10">
        <f>'CAPEX &amp; DEPRECIATION'!E4</f>
        <v>10200000</v>
      </c>
      <c r="D10" s="10">
        <f>'CAPEX &amp; DEPRECIATION'!F4</f>
        <v>20400000</v>
      </c>
      <c r="E10" s="10">
        <f>'CAPEX &amp; DEPRECIATION'!G4</f>
        <v>30600000</v>
      </c>
      <c r="F10" s="10">
        <f>'CAPEX &amp; DEPRECIATION'!H4</f>
        <v>40800000</v>
      </c>
      <c r="G10" s="10">
        <f>'CAPEX &amp; DEPRECIATION'!I4</f>
        <v>51000000</v>
      </c>
      <c r="H10" s="10">
        <f>'CAPEX &amp; DEPRECIATION'!J4</f>
        <v>61200000</v>
      </c>
      <c r="I10" s="10">
        <f>'CAPEX &amp; DEPRECIATION'!K4</f>
        <v>10300000</v>
      </c>
      <c r="J10" s="10">
        <f>'CAPEX &amp; DEPRECIATION'!L4</f>
        <v>0</v>
      </c>
      <c r="K10" s="10">
        <f>'CAPEX &amp; DEPRECIATION'!M4</f>
        <v>0</v>
      </c>
      <c r="L10" s="10">
        <f>'CAPEX &amp; DEPRECIATION'!N4</f>
        <v>0</v>
      </c>
      <c r="M10" s="10">
        <f>'CAPEX &amp; DEPRECIATION'!O4</f>
        <v>0</v>
      </c>
      <c r="N10" s="10">
        <f>'CAPEX &amp; DEPRECIATION'!P4</f>
        <v>0</v>
      </c>
    </row>
    <row r="11" ht="20.05" customHeight="1">
      <c r="A11" t="s" s="7">
        <v>37</v>
      </c>
      <c r="B11" t="s" s="7">
        <v>18</v>
      </c>
      <c r="C11" s="10">
        <f>'CAPEX &amp; DEPRECIATION'!E5</f>
        <v>2800000</v>
      </c>
      <c r="D11" s="10">
        <f>'CAPEX &amp; DEPRECIATION'!F5</f>
        <v>2800000</v>
      </c>
      <c r="E11" s="10">
        <f>'CAPEX &amp; DEPRECIATION'!G5</f>
        <v>0</v>
      </c>
      <c r="F11" s="10">
        <f>'CAPEX &amp; DEPRECIATION'!H5</f>
        <v>2800000</v>
      </c>
      <c r="G11" s="10">
        <f>'CAPEX &amp; DEPRECIATION'!I5</f>
        <v>2800000</v>
      </c>
      <c r="H11" s="10">
        <f>'CAPEX &amp; DEPRECIATION'!J5</f>
        <v>0</v>
      </c>
      <c r="I11" s="10">
        <f>'CAPEX &amp; DEPRECIATION'!K5</f>
        <v>0</v>
      </c>
      <c r="J11" s="10">
        <f>'CAPEX &amp; DEPRECIATION'!L5</f>
        <v>2800000</v>
      </c>
      <c r="K11" s="10">
        <f>'CAPEX &amp; DEPRECIATION'!M5</f>
        <v>0</v>
      </c>
      <c r="L11" s="10">
        <f>'CAPEX &amp; DEPRECIATION'!N5</f>
        <v>0</v>
      </c>
      <c r="M11" s="10">
        <f>'CAPEX &amp; DEPRECIATION'!O5</f>
        <v>0</v>
      </c>
      <c r="N11" s="10">
        <f>'CAPEX &amp; DEPRECIATION'!P5</f>
        <v>0</v>
      </c>
    </row>
    <row r="12" ht="20.05" customHeight="1">
      <c r="A12" t="s" s="7">
        <v>23</v>
      </c>
      <c r="B12" t="s" s="7">
        <v>18</v>
      </c>
      <c r="C12" s="10">
        <f>'CAPEX &amp; DEPRECIATION'!E6</f>
        <v>1000000</v>
      </c>
      <c r="D12" s="10">
        <f>'CAPEX &amp; DEPRECIATION'!F6</f>
        <v>500000</v>
      </c>
      <c r="E12" s="10">
        <f>'CAPEX &amp; DEPRECIATION'!G6</f>
        <v>500000</v>
      </c>
      <c r="F12" s="10">
        <f>'CAPEX &amp; DEPRECIATION'!H6</f>
        <v>500000</v>
      </c>
      <c r="G12" s="10">
        <f>'CAPEX &amp; DEPRECIATION'!I6</f>
        <v>500000</v>
      </c>
      <c r="H12" s="10">
        <f>'CAPEX &amp; DEPRECIATION'!J6</f>
        <v>0</v>
      </c>
      <c r="I12" s="10">
        <f>'CAPEX &amp; DEPRECIATION'!K6</f>
        <v>0</v>
      </c>
      <c r="J12" s="10">
        <f>'CAPEX &amp; DEPRECIATION'!L6</f>
        <v>0</v>
      </c>
      <c r="K12" s="10">
        <f>'CAPEX &amp; DEPRECIATION'!M6</f>
        <v>0</v>
      </c>
      <c r="L12" s="10">
        <f>'CAPEX &amp; DEPRECIATION'!N6</f>
        <v>0</v>
      </c>
      <c r="M12" s="10">
        <f>'CAPEX &amp; DEPRECIATION'!O6</f>
        <v>0</v>
      </c>
      <c r="N12" s="10">
        <f>'CAPEX &amp; DEPRECIATION'!P6</f>
        <v>0</v>
      </c>
    </row>
    <row r="13" ht="20.05" customHeight="1">
      <c r="A13" t="s" s="7">
        <v>24</v>
      </c>
      <c r="B13" t="s" s="7">
        <v>18</v>
      </c>
      <c r="C13" s="10">
        <f>'CAPEX &amp; DEPRECIATION'!E7</f>
        <v>2000000</v>
      </c>
      <c r="D13" s="10">
        <f>'CAPEX &amp; DEPRECIATION'!F7</f>
        <v>0</v>
      </c>
      <c r="E13" s="10">
        <f>'CAPEX &amp; DEPRECIATION'!G7</f>
        <v>0</v>
      </c>
      <c r="F13" s="10">
        <f>'CAPEX &amp; DEPRECIATION'!H7</f>
        <v>0</v>
      </c>
      <c r="G13" s="10">
        <f>'CAPEX &amp; DEPRECIATION'!I7</f>
        <v>0</v>
      </c>
      <c r="H13" s="10">
        <f>'CAPEX &amp; DEPRECIATION'!J7</f>
        <v>0</v>
      </c>
      <c r="I13" s="10">
        <f>'CAPEX &amp; DEPRECIATION'!K7</f>
        <v>0</v>
      </c>
      <c r="J13" s="10">
        <f>'CAPEX &amp; DEPRECIATION'!L7</f>
        <v>0</v>
      </c>
      <c r="K13" s="10">
        <f>'CAPEX &amp; DEPRECIATION'!M7</f>
        <v>0</v>
      </c>
      <c r="L13" s="10">
        <f>'CAPEX &amp; DEPRECIATION'!N7</f>
        <v>0</v>
      </c>
      <c r="M13" s="10">
        <f>'CAPEX &amp; DEPRECIATION'!O7</f>
        <v>0</v>
      </c>
      <c r="N13" s="10">
        <f>'CAPEX &amp; DEPRECIATION'!P7</f>
        <v>0</v>
      </c>
    </row>
    <row r="14" ht="20.05" customHeight="1">
      <c r="A14" t="s" s="7">
        <f>'ASSUMPTIONS_DATA'!A36</f>
        <v>38</v>
      </c>
      <c r="B14" t="s" s="7">
        <v>18</v>
      </c>
      <c r="C14" s="10">
        <f>'ASSUMPTIONS_DATA'!D36</f>
        <v>5000000</v>
      </c>
      <c r="D14" s="10">
        <f>'ASSUMPTIONS_DATA'!E36</f>
        <v>5000000</v>
      </c>
      <c r="E14" s="10">
        <f>'ASSUMPTIONS_DATA'!F36</f>
        <v>0</v>
      </c>
      <c r="F14" s="10">
        <f>'ASSUMPTIONS_DATA'!G36</f>
        <v>0</v>
      </c>
      <c r="G14" s="10">
        <f>'ASSUMPTIONS_DATA'!H36</f>
        <v>0</v>
      </c>
      <c r="H14" s="10">
        <f>'ASSUMPTIONS_DATA'!I36</f>
        <v>0</v>
      </c>
      <c r="I14" s="10">
        <f>'ASSUMPTIONS_DATA'!J36</f>
        <v>0</v>
      </c>
      <c r="J14" s="10">
        <f>'ASSUMPTIONS_DATA'!K36</f>
        <v>0</v>
      </c>
      <c r="K14" s="10">
        <f>'ASSUMPTIONS_DATA'!L36</f>
        <v>0</v>
      </c>
      <c r="L14" s="10">
        <f>'ASSUMPTIONS_DATA'!M36</f>
        <v>0</v>
      </c>
      <c r="M14" s="10">
        <f>'ASSUMPTIONS_DATA'!N36</f>
        <v>0</v>
      </c>
      <c r="N14" s="10">
        <v>0</v>
      </c>
    </row>
    <row r="15" ht="20.05" customHeight="1">
      <c r="A15" t="s" s="7">
        <v>39</v>
      </c>
      <c r="B15" t="s" s="7">
        <v>18</v>
      </c>
      <c r="C15" s="10">
        <f>'ASSUMPTIONS_DATA'!C37</f>
        <v>5000000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ht="20.05" customHeight="1">
      <c r="A16" t="s" s="5">
        <v>40</v>
      </c>
      <c r="B16" t="s" s="5">
        <v>18</v>
      </c>
      <c r="C16" s="11">
        <f>SUM(C9:C15)</f>
        <v>33000000</v>
      </c>
      <c r="D16" s="11">
        <f>SUM(D9:D15)</f>
        <v>35700000</v>
      </c>
      <c r="E16" s="11">
        <f>SUM(E9:E15)</f>
        <v>38100000</v>
      </c>
      <c r="F16" s="11">
        <f>SUM(F9:F15)</f>
        <v>51100000</v>
      </c>
      <c r="G16" s="11">
        <f>SUM(G9:G15)</f>
        <v>61300000</v>
      </c>
      <c r="H16" s="11">
        <f>SUM(H9:H15)</f>
        <v>68200000</v>
      </c>
      <c r="I16" s="11">
        <f>SUM(I9:I15)</f>
        <v>17300000</v>
      </c>
      <c r="J16" s="11">
        <f>SUM(J9:J15)</f>
        <v>2800000</v>
      </c>
      <c r="K16" s="11">
        <f>SUM(K9:K15)</f>
        <v>0</v>
      </c>
      <c r="L16" s="11">
        <f>SUM(L9:L15)</f>
        <v>0</v>
      </c>
      <c r="M16" s="11">
        <f>SUM(M9:M15)</f>
        <v>0</v>
      </c>
      <c r="N16" s="11">
        <f>SUM(N9:N15)</f>
        <v>0</v>
      </c>
    </row>
    <row r="17" ht="20.05" customHeight="1">
      <c r="A17" s="6"/>
      <c r="B17" s="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1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3516" style="12" customWidth="1"/>
    <col min="2" max="2" width="8.85156" style="12" customWidth="1"/>
    <col min="3" max="8" width="16.1719" style="12" customWidth="1"/>
    <col min="9" max="16384" width="16.3516" style="12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</row>
    <row r="2" ht="20.05" customHeight="1">
      <c r="A2" t="s" s="5">
        <v>41</v>
      </c>
      <c r="B2" t="s" s="5">
        <v>2</v>
      </c>
      <c r="C2" t="s" s="5">
        <v>5</v>
      </c>
      <c r="D2" t="s" s="5">
        <v>7</v>
      </c>
      <c r="E2" t="s" s="5">
        <v>10</v>
      </c>
      <c r="F2" t="s" s="5">
        <v>12</v>
      </c>
      <c r="G2" t="s" s="5">
        <v>13</v>
      </c>
      <c r="H2" t="s" s="5">
        <v>14</v>
      </c>
    </row>
    <row r="3" ht="20.05" customHeight="1">
      <c r="A3" t="s" s="7">
        <v>42</v>
      </c>
      <c r="B3" t="s" s="7">
        <v>18</v>
      </c>
      <c r="C3" s="4">
        <f>'INCOME STATEMENT '!E12</f>
        <v>5730791.53548376</v>
      </c>
      <c r="D3" s="4">
        <f>'INCOME STATEMENT '!G12</f>
        <v>17156611.515871</v>
      </c>
      <c r="E3" s="4">
        <f>'INCOME STATEMENT '!J12</f>
        <v>42437740.4503227</v>
      </c>
      <c r="F3" s="4">
        <f>'INCOME STATEMENT '!L12</f>
        <v>48869336.9848911</v>
      </c>
      <c r="G3" s="4">
        <f>'INCOME STATEMENT '!M12</f>
        <v>52266325.5953799</v>
      </c>
      <c r="H3" s="4">
        <f>'INCOME STATEMENT '!N12</f>
        <v>54208112.3613635</v>
      </c>
    </row>
    <row r="4" ht="20.05" customHeight="1">
      <c r="A4" t="s" s="7">
        <v>43</v>
      </c>
      <c r="B4" s="6"/>
      <c r="C4" s="4">
        <v>10</v>
      </c>
      <c r="D4" s="4">
        <v>12</v>
      </c>
      <c r="E4" s="4">
        <v>12</v>
      </c>
      <c r="F4" s="4">
        <v>12</v>
      </c>
      <c r="G4" s="4">
        <v>12</v>
      </c>
      <c r="H4" s="4">
        <v>12</v>
      </c>
    </row>
    <row r="5" ht="20.05" customHeight="1">
      <c r="A5" t="s" s="7">
        <v>44</v>
      </c>
      <c r="B5" t="s" s="7">
        <v>18</v>
      </c>
      <c r="C5" s="4">
        <f>C3*C4</f>
        <v>57307915.3548376</v>
      </c>
      <c r="D5" s="4">
        <f>D3*D4</f>
        <v>205879338.190452</v>
      </c>
      <c r="E5" s="4">
        <f>E3*E4</f>
        <v>509252885.403872</v>
      </c>
      <c r="F5" s="4">
        <f>F3*F4</f>
        <v>586432043.818693</v>
      </c>
      <c r="G5" s="4">
        <f>G3*G4</f>
        <v>627195907.144559</v>
      </c>
      <c r="H5" s="4">
        <f>H3*H4</f>
        <v>650497348.336362</v>
      </c>
    </row>
    <row r="6" ht="20.1" customHeight="1">
      <c r="A6" t="s" s="7">
        <v>45</v>
      </c>
      <c r="B6" t="s" s="7">
        <v>18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ht="20.05" customHeight="1">
      <c r="A7" t="s" s="7">
        <v>46</v>
      </c>
      <c r="B7" t="s" s="7">
        <v>18</v>
      </c>
      <c r="C7" s="4">
        <f>C5-C6</f>
        <v>57307915.3548376</v>
      </c>
      <c r="D7" s="4">
        <f>D5-D6</f>
        <v>205879338.190452</v>
      </c>
      <c r="E7" s="4">
        <f>E5-E6</f>
        <v>509252885.403872</v>
      </c>
      <c r="F7" s="4">
        <f>F5-F6</f>
        <v>586432043.818693</v>
      </c>
      <c r="G7" s="4">
        <f>G5-G6</f>
        <v>627195907.144559</v>
      </c>
      <c r="H7" s="4">
        <f>H5-H6</f>
        <v>650497348.336362</v>
      </c>
    </row>
    <row r="8" ht="20.05" customHeight="1">
      <c r="A8" t="s" s="5">
        <v>47</v>
      </c>
      <c r="B8" t="s" s="5">
        <v>18</v>
      </c>
      <c r="C8" s="8">
        <f>C7*0.25</f>
        <v>14326978.8387094</v>
      </c>
      <c r="D8" s="8">
        <f>D7*0.25</f>
        <v>51469834.547613</v>
      </c>
      <c r="E8" s="8">
        <f>E7*0.25</f>
        <v>127313221.350968</v>
      </c>
      <c r="F8" s="8">
        <f>F7*0.25</f>
        <v>146608010.954673</v>
      </c>
      <c r="G8" s="8">
        <f>G7*0.25</f>
        <v>156798976.78614</v>
      </c>
      <c r="H8" s="8">
        <f>H7*0.25</f>
        <v>162624337.084091</v>
      </c>
    </row>
    <row r="9" ht="20.05" customHeight="1">
      <c r="A9" t="s" s="5">
        <v>48</v>
      </c>
      <c r="B9" s="3"/>
      <c r="C9" s="8">
        <f>C8/'SOURCE_USE OF FUNDS'!$C$5</f>
        <v>0.434150873900285</v>
      </c>
      <c r="D9" s="8">
        <f>D8/'SOURCE_USE OF FUNDS'!$C$5</f>
        <v>1.55969195598827</v>
      </c>
      <c r="E9" s="8">
        <f>E8/'SOURCE_USE OF FUNDS'!$C$5</f>
        <v>3.85797640457479</v>
      </c>
      <c r="F9" s="8">
        <f>F8/'SOURCE_USE OF FUNDS'!$C$5</f>
        <v>4.44266699862645</v>
      </c>
      <c r="G9" s="8">
        <f>G8/'SOURCE_USE OF FUNDS'!$C$5</f>
        <v>4.75148414503455</v>
      </c>
      <c r="H9" s="8">
        <f>H8/'SOURCE_USE OF FUNDS'!$C$5</f>
        <v>4.92801021466942</v>
      </c>
    </row>
    <row r="10" ht="20.05" customHeight="1">
      <c r="A10" s="6"/>
      <c r="B10" s="6"/>
      <c r="C10" s="13"/>
      <c r="D10" s="13"/>
      <c r="E10" s="13"/>
      <c r="F10" s="13"/>
      <c r="G10" s="13"/>
      <c r="H10" s="13"/>
    </row>
    <row r="11" ht="20.05" customHeight="1">
      <c r="A11" t="s" s="5">
        <v>49</v>
      </c>
      <c r="B11" t="s" s="5">
        <v>50</v>
      </c>
      <c r="C11" s="8"/>
      <c r="D11" s="8"/>
      <c r="E11" s="8"/>
      <c r="F11" s="8"/>
      <c r="G11" s="13">
        <f>'INCOME STATEMENT '!C24</f>
        <v>0.16517773956309</v>
      </c>
      <c r="H11" s="13"/>
    </row>
  </sheetData>
  <conditionalFormatting sqref="C1:H1 C3:H11">
    <cfRule type="cellIs" dxfId="1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6.1719" style="14" customWidth="1"/>
    <col min="2" max="2" width="8.85156" style="14" customWidth="1"/>
    <col min="3" max="13" width="13.1719" style="14" customWidth="1"/>
    <col min="14" max="16384" width="16.3516" style="14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0.05" customHeight="1">
      <c r="A2" t="s" s="5">
        <v>1</v>
      </c>
      <c r="B2" t="s" s="5">
        <v>2</v>
      </c>
      <c r="C2" t="s" s="5">
        <v>4</v>
      </c>
      <c r="D2" t="s" s="5">
        <v>5</v>
      </c>
      <c r="E2" t="s" s="5">
        <v>6</v>
      </c>
      <c r="F2" t="s" s="5">
        <v>7</v>
      </c>
      <c r="G2" t="s" s="5">
        <v>8</v>
      </c>
      <c r="H2" t="s" s="5">
        <v>9</v>
      </c>
      <c r="I2" t="s" s="5">
        <v>10</v>
      </c>
      <c r="J2" t="s" s="5">
        <v>11</v>
      </c>
      <c r="K2" t="s" s="5">
        <v>12</v>
      </c>
      <c r="L2" t="s" s="5">
        <v>13</v>
      </c>
      <c r="M2" t="s" s="5">
        <v>14</v>
      </c>
    </row>
    <row r="3" ht="20.05" customHeight="1">
      <c r="A3" t="s" s="7">
        <v>51</v>
      </c>
      <c r="B3" t="s" s="7">
        <v>50</v>
      </c>
      <c r="C3" s="15">
        <f>'INCOME STATEMENT '!D12/'INCOME STATEMENT '!D3</f>
        <v>0.0816891926838733</v>
      </c>
      <c r="D3" s="15">
        <f>'INCOME STATEMENT '!E12/'INCOME STATEMENT '!E3</f>
        <v>0.167919149519215</v>
      </c>
      <c r="E3" s="15">
        <f>'INCOME STATEMENT '!F12/'INCOME STATEMENT '!F3</f>
        <v>0.195166082099713</v>
      </c>
      <c r="F3" s="15">
        <f>'INCOME STATEMENT '!G12/'INCOME STATEMENT '!G3</f>
        <v>0.207731217597138</v>
      </c>
      <c r="G3" s="15">
        <f>'INCOME STATEMENT '!H12/'INCOME STATEMENT '!H3</f>
        <v>0.214462351489882</v>
      </c>
      <c r="H3" s="15">
        <f>'INCOME STATEMENT '!I12/'INCOME STATEMENT '!I3</f>
        <v>0.218299107415043</v>
      </c>
      <c r="I3" s="15">
        <f>'INCOME STATEMENT '!J12/'INCOME STATEMENT '!J3</f>
        <v>0.220512211529456</v>
      </c>
      <c r="J3" s="15">
        <f>'INCOME STATEMENT '!K12/'INCOME STATEMENT '!K3</f>
        <v>0.215335939389458</v>
      </c>
      <c r="K3" s="15">
        <f>'INCOME STATEMENT '!L12/'INCOME STATEMENT '!L3</f>
        <v>0.209860870099562</v>
      </c>
      <c r="L3" s="15">
        <f>'INCOME STATEMENT '!M12/'INCOME STATEMENT '!M3</f>
        <v>0.204044224551176</v>
      </c>
      <c r="M3" s="15">
        <f>'INCOME STATEMENT '!N12/'INCOME STATEMENT '!N3</f>
        <v>0.192386208783228</v>
      </c>
    </row>
    <row r="4" ht="20.05" customHeight="1">
      <c r="A4" t="s" s="7">
        <v>52</v>
      </c>
      <c r="B4" t="s" s="7">
        <v>50</v>
      </c>
      <c r="C4" s="16">
        <f>'INCOME STATEMENT '!D17/'INCOME STATEMENT '!D3</f>
        <v>-0.0497072182362523</v>
      </c>
      <c r="D4" s="16">
        <f>'INCOME STATEMENT '!E17/'INCOME STATEMENT '!E3</f>
        <v>0.033842044930845</v>
      </c>
      <c r="E4" s="16">
        <f>'INCOME STATEMENT '!F17/'INCOME STATEMENT '!F3</f>
        <v>0.0534126484114036</v>
      </c>
      <c r="F4" s="16">
        <f>'INCOME STATEMENT '!G17/'INCOME STATEMENT '!G3</f>
        <v>0.0569623438542708</v>
      </c>
      <c r="G4" s="16">
        <f>'INCOME STATEMENT '!H17/'INCOME STATEMENT '!H3</f>
        <v>0.0574883677906928</v>
      </c>
      <c r="H4" s="16">
        <f>'INCOME STATEMENT '!I17/'INCOME STATEMENT '!I3</f>
        <v>0.0627847866571304</v>
      </c>
      <c r="I4" s="16">
        <f>'INCOME STATEMENT '!J17/'INCOME STATEMENT '!J3</f>
        <v>0.065687377132104</v>
      </c>
      <c r="J4" s="16">
        <f>'INCOME STATEMENT '!K17/'INCOME STATEMENT '!K3</f>
        <v>0.0682898219081781</v>
      </c>
      <c r="K4" s="16">
        <f>'INCOME STATEMENT '!L17/'INCOME STATEMENT '!L3</f>
        <v>0.0723280574553746</v>
      </c>
      <c r="L4" s="16">
        <f>'INCOME STATEMENT '!M17/'INCOME STATEMENT '!M3</f>
        <v>0.0744415364898933</v>
      </c>
      <c r="M4" s="16">
        <f>'INCOME STATEMENT '!N17/'INCOME STATEMENT '!N3</f>
        <v>0.0704684783930862</v>
      </c>
    </row>
    <row r="5" ht="20.05" customHeight="1">
      <c r="A5" t="s" s="7">
        <v>53</v>
      </c>
      <c r="B5" t="s" s="7">
        <v>50</v>
      </c>
      <c r="C5" s="16">
        <f>'INCOME STATEMENT '!D17/'BALANCE SHEET'!D17</f>
        <v>-0.0112241749229163</v>
      </c>
      <c r="D5" s="16">
        <f>'INCOME STATEMENT '!E17/'BALANCE SHEET'!E17</f>
        <v>0.0108143327856301</v>
      </c>
      <c r="E5" s="16">
        <f>'INCOME STATEMENT '!F17/'BALANCE SHEET'!F17</f>
        <v>0.019048479354975</v>
      </c>
      <c r="F5" s="16">
        <f>'INCOME STATEMENT '!G17/'BALANCE SHEET'!G17</f>
        <v>0.0214623390865711</v>
      </c>
      <c r="G5" s="16">
        <f>'INCOME STATEMENT '!H17/'BALANCE SHEET'!H17</f>
        <v>0.0227156758896752</v>
      </c>
      <c r="H5" s="16">
        <f>'INCOME STATEMENT '!I17/'BALANCE SHEET'!I17</f>
        <v>0.0308878975962615</v>
      </c>
      <c r="I5" s="16">
        <f>'INCOME STATEMENT '!J17/'BALANCE SHEET'!J17</f>
        <v>0.0411108454695694</v>
      </c>
      <c r="J5" s="16">
        <f>'INCOME STATEMENT '!K17/'BALANCE SHEET'!K17</f>
        <v>0.0470135615395636</v>
      </c>
      <c r="K5" s="16">
        <f>'INCOME STATEMENT '!L17/'BALANCE SHEET'!L17</f>
        <v>0.0547730164425707</v>
      </c>
      <c r="L5" s="16">
        <f>'INCOME STATEMENT '!M17/'BALANCE SHEET'!M17</f>
        <v>0.0620108766940898</v>
      </c>
      <c r="M5" s="16"/>
    </row>
    <row r="6" ht="14.7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ht="14.7" customHeight="1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</row>
    <row r="8" ht="14.7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</row>
    <row r="9" ht="14.7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</row>
    <row r="10" ht="14.7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</row>
  </sheetData>
  <conditionalFormatting sqref="C1:M1 C4:M5">
    <cfRule type="cellIs" dxfId="2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72"/>
  <sheetViews>
    <sheetView workbookViewId="0" showGridLines="0" defaultGridColor="1"/>
  </sheetViews>
  <sheetFormatPr defaultColWidth="16.3333" defaultRowHeight="19.9" customHeight="1" outlineLevelRow="0" outlineLevelCol="0"/>
  <cols>
    <col min="1" max="1" width="56.8672" style="26" customWidth="1"/>
    <col min="2" max="2" width="15.8516" style="26" customWidth="1"/>
    <col min="3" max="14" width="16.3516" style="26" customWidth="1"/>
    <col min="15" max="16384" width="16.3516" style="26" customWidth="1"/>
  </cols>
  <sheetData>
    <row r="1" ht="20.05" customHeight="1">
      <c r="A1" t="s" s="2">
        <v>54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0.05" customHeight="1">
      <c r="A2" t="s" s="5">
        <v>1</v>
      </c>
      <c r="B2" t="s" s="5">
        <v>2</v>
      </c>
      <c r="C2" t="s" s="5">
        <v>55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27">
        <v>14</v>
      </c>
    </row>
    <row r="3" ht="20.05" customHeight="1">
      <c r="A3" t="s" s="7">
        <v>56</v>
      </c>
      <c r="B3" t="s" s="7">
        <v>57</v>
      </c>
      <c r="C3" s="28">
        <v>220</v>
      </c>
      <c r="D3" s="28"/>
      <c r="E3" s="28"/>
      <c r="F3" s="28"/>
      <c r="G3" s="28"/>
      <c r="H3" s="28"/>
      <c r="I3" s="28"/>
      <c r="J3" s="28"/>
      <c r="K3" s="10"/>
      <c r="L3" s="10"/>
      <c r="M3" s="10"/>
      <c r="N3" s="10"/>
    </row>
    <row r="4" ht="20.05" customHeight="1">
      <c r="A4" t="s" s="7">
        <v>58</v>
      </c>
      <c r="B4" t="s" s="7">
        <v>59</v>
      </c>
      <c r="C4" s="28">
        <v>7</v>
      </c>
      <c r="D4" s="28">
        <v>7</v>
      </c>
      <c r="E4" s="28">
        <v>7</v>
      </c>
      <c r="F4" s="28">
        <v>7</v>
      </c>
      <c r="G4" s="28">
        <v>7</v>
      </c>
      <c r="H4" s="28">
        <v>7</v>
      </c>
      <c r="I4" s="28">
        <v>7</v>
      </c>
      <c r="J4" s="28">
        <v>7</v>
      </c>
      <c r="K4" s="28">
        <v>7</v>
      </c>
      <c r="L4" s="28">
        <v>7</v>
      </c>
      <c r="M4" s="28">
        <v>7</v>
      </c>
      <c r="N4" s="28">
        <v>7</v>
      </c>
    </row>
    <row r="5" ht="20.05" customHeight="1">
      <c r="A5" t="s" s="7">
        <v>60</v>
      </c>
      <c r="B5" t="s" s="7">
        <v>59</v>
      </c>
      <c r="C5" s="28"/>
      <c r="D5" s="28">
        <v>714</v>
      </c>
      <c r="E5" s="28">
        <v>714</v>
      </c>
      <c r="F5" s="28">
        <v>714</v>
      </c>
      <c r="G5" s="28">
        <v>714</v>
      </c>
      <c r="H5" s="28">
        <v>714</v>
      </c>
      <c r="I5" s="28">
        <v>714</v>
      </c>
      <c r="J5" s="28">
        <v>716</v>
      </c>
      <c r="K5" s="10"/>
      <c r="L5" s="10"/>
      <c r="M5" s="10"/>
      <c r="N5" s="10"/>
    </row>
    <row r="6" ht="20.05" customHeight="1">
      <c r="A6" t="s" s="7">
        <v>61</v>
      </c>
      <c r="B6" t="s" s="7">
        <v>59</v>
      </c>
      <c r="C6" s="28"/>
      <c r="D6" s="28">
        <f>D5</f>
        <v>714</v>
      </c>
      <c r="E6" s="28">
        <f>D6+E5</f>
        <v>1428</v>
      </c>
      <c r="F6" s="28">
        <f>E6+F5</f>
        <v>2142</v>
      </c>
      <c r="G6" s="28">
        <f>F6+G5</f>
        <v>2856</v>
      </c>
      <c r="H6" s="28">
        <f>G6+H5</f>
        <v>3570</v>
      </c>
      <c r="I6" s="28">
        <f>H6+I5</f>
        <v>4284</v>
      </c>
      <c r="J6" s="28">
        <f>I6+J5</f>
        <v>5000</v>
      </c>
      <c r="K6" s="28">
        <f>J6+K5</f>
        <v>5000</v>
      </c>
      <c r="L6" s="28">
        <f>K6+L5</f>
        <v>5000</v>
      </c>
      <c r="M6" s="28">
        <f>L6+M5</f>
        <v>5000</v>
      </c>
      <c r="N6" s="28">
        <f>M6+N5</f>
        <v>5000</v>
      </c>
    </row>
    <row r="7" ht="20.05" customHeight="1">
      <c r="A7" t="s" s="7">
        <v>62</v>
      </c>
      <c r="B7" t="s" s="7">
        <v>59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</row>
    <row r="8" ht="20.05" customHeight="1">
      <c r="A8" t="s" s="7">
        <v>63</v>
      </c>
      <c r="B8" t="s" s="7">
        <v>59</v>
      </c>
      <c r="C8" s="28"/>
      <c r="D8" s="28">
        <f>D6*D7</f>
        <v>714</v>
      </c>
      <c r="E8" s="28">
        <f>E6*E7</f>
        <v>1428</v>
      </c>
      <c r="F8" s="28">
        <f>F6*F7</f>
        <v>2142</v>
      </c>
      <c r="G8" s="28">
        <f>G6*G7</f>
        <v>2856</v>
      </c>
      <c r="H8" s="28">
        <f>H6*H7</f>
        <v>3570</v>
      </c>
      <c r="I8" s="28">
        <f>I6*I7</f>
        <v>4284</v>
      </c>
      <c r="J8" s="28">
        <f>J6*J7</f>
        <v>5000</v>
      </c>
      <c r="K8" s="28">
        <f>K6*K7</f>
        <v>5000</v>
      </c>
      <c r="L8" s="28">
        <f>L6*L7</f>
        <v>5000</v>
      </c>
      <c r="M8" s="28">
        <f>M6*M7</f>
        <v>5000</v>
      </c>
      <c r="N8" s="28">
        <f>N6*N7</f>
        <v>5000</v>
      </c>
    </row>
    <row r="9" ht="20.05" customHeight="1">
      <c r="A9" t="s" s="7">
        <v>64</v>
      </c>
      <c r="B9" t="s" s="7">
        <v>65</v>
      </c>
      <c r="C9" s="28">
        <v>7</v>
      </c>
      <c r="D9" s="28"/>
      <c r="E9" s="28"/>
      <c r="F9" s="28"/>
      <c r="G9" s="28"/>
      <c r="H9" s="28"/>
      <c r="I9" s="28"/>
      <c r="J9" s="28"/>
      <c r="K9" s="10"/>
      <c r="L9" s="10"/>
      <c r="M9" s="10"/>
      <c r="N9" s="10"/>
    </row>
    <row r="10" ht="20.05" customHeight="1">
      <c r="A10" t="s" s="7">
        <v>66</v>
      </c>
      <c r="B10" t="s" s="7">
        <v>59</v>
      </c>
      <c r="C10" s="28">
        <f>60/C9</f>
        <v>8.571428571428569</v>
      </c>
      <c r="D10" s="28"/>
      <c r="E10" s="28"/>
      <c r="F10" s="28"/>
      <c r="G10" s="28"/>
      <c r="H10" s="28"/>
      <c r="I10" s="28"/>
      <c r="J10" s="28"/>
      <c r="K10" s="10"/>
      <c r="L10" s="10"/>
      <c r="M10" s="10"/>
      <c r="N10" s="10"/>
    </row>
    <row r="11" ht="20.05" customHeight="1">
      <c r="A11" t="s" s="7">
        <v>67</v>
      </c>
      <c r="B11" t="s" s="7">
        <v>68</v>
      </c>
      <c r="C11" s="28">
        <v>18</v>
      </c>
      <c r="D11" s="28"/>
      <c r="E11" s="28"/>
      <c r="F11" s="28"/>
      <c r="G11" s="28"/>
      <c r="H11" s="28"/>
      <c r="I11" s="28"/>
      <c r="J11" s="28"/>
      <c r="K11" s="10"/>
      <c r="L11" s="10"/>
      <c r="M11" s="10"/>
      <c r="N11" s="10"/>
    </row>
    <row r="12" ht="20.05" customHeight="1">
      <c r="A12" t="s" s="7">
        <v>69</v>
      </c>
      <c r="B12" t="s" s="7">
        <v>59</v>
      </c>
      <c r="C12" s="28">
        <f>C11*C10</f>
        <v>154.285714285714</v>
      </c>
      <c r="D12" s="28"/>
      <c r="E12" s="28"/>
      <c r="F12" s="28"/>
      <c r="G12" s="28"/>
      <c r="H12" s="28"/>
      <c r="I12" s="28"/>
      <c r="J12" s="28"/>
      <c r="K12" s="10"/>
      <c r="L12" s="10"/>
      <c r="M12" s="10"/>
      <c r="N12" s="10"/>
    </row>
    <row r="13" ht="20.05" customHeight="1">
      <c r="A13" t="s" s="7">
        <v>70</v>
      </c>
      <c r="B13" t="s" s="7">
        <v>59</v>
      </c>
      <c r="C13" s="28"/>
      <c r="D13" s="28">
        <f>D6</f>
        <v>714</v>
      </c>
      <c r="E13" s="28">
        <f>E6</f>
        <v>1428</v>
      </c>
      <c r="F13" s="28">
        <f>F6</f>
        <v>2142</v>
      </c>
      <c r="G13" s="28">
        <f>G6</f>
        <v>2856</v>
      </c>
      <c r="H13" s="28">
        <f>H6</f>
        <v>3570</v>
      </c>
      <c r="I13" s="28">
        <f>I6</f>
        <v>4284</v>
      </c>
      <c r="J13" s="28">
        <f>J6</f>
        <v>5000</v>
      </c>
      <c r="K13" s="28">
        <f>K6</f>
        <v>5000</v>
      </c>
      <c r="L13" s="28">
        <f>L6</f>
        <v>5000</v>
      </c>
      <c r="M13" s="28">
        <f>M6</f>
        <v>5000</v>
      </c>
      <c r="N13" s="28">
        <f>N6</f>
        <v>5000</v>
      </c>
    </row>
    <row r="14" ht="20.05" customHeight="1">
      <c r="A14" t="s" s="7">
        <v>71</v>
      </c>
      <c r="B14" t="s" s="7">
        <v>59</v>
      </c>
      <c r="C14" s="28">
        <v>7</v>
      </c>
      <c r="D14" s="28"/>
      <c r="E14" s="28"/>
      <c r="F14" s="28"/>
      <c r="G14" s="28"/>
      <c r="H14" s="28"/>
      <c r="I14" s="28"/>
      <c r="J14" s="28"/>
      <c r="K14" s="10"/>
      <c r="L14" s="10"/>
      <c r="M14" s="10"/>
      <c r="N14" s="10"/>
    </row>
    <row r="15" ht="20.05" customHeight="1">
      <c r="A15" t="s" s="7">
        <v>72</v>
      </c>
      <c r="B15" t="s" s="7">
        <v>59</v>
      </c>
      <c r="C15" s="28">
        <v>7</v>
      </c>
      <c r="D15" s="28"/>
      <c r="E15" s="28"/>
      <c r="F15" s="28"/>
      <c r="G15" s="28"/>
      <c r="H15" s="28"/>
      <c r="I15" s="28"/>
      <c r="J15" s="28"/>
      <c r="K15" s="10"/>
      <c r="L15" s="10"/>
      <c r="M15" s="10"/>
      <c r="N15" s="10"/>
    </row>
    <row r="16" ht="20.05" customHeight="1">
      <c r="A16" t="s" s="7">
        <v>73</v>
      </c>
      <c r="B16" t="s" s="7">
        <v>59</v>
      </c>
      <c r="C16" s="28"/>
      <c r="D16" s="28">
        <f>D13/$C$15</f>
        <v>102</v>
      </c>
      <c r="E16" s="28">
        <f>E13/$C$15</f>
        <v>204</v>
      </c>
      <c r="F16" s="28">
        <f>F13/$C$15</f>
        <v>306</v>
      </c>
      <c r="G16" s="28">
        <f>G13/$C$15</f>
        <v>408</v>
      </c>
      <c r="H16" s="28">
        <f>H13/$C$15</f>
        <v>510</v>
      </c>
      <c r="I16" s="28">
        <f>I13/$C$15</f>
        <v>612</v>
      </c>
      <c r="J16" s="28">
        <v>103</v>
      </c>
      <c r="K16" s="10"/>
      <c r="L16" s="10"/>
      <c r="M16" s="10"/>
      <c r="N16" s="10"/>
    </row>
    <row r="17" ht="20.05" customHeight="1">
      <c r="A17" t="s" s="7">
        <v>74</v>
      </c>
      <c r="B17" t="s" s="7">
        <v>59</v>
      </c>
      <c r="C17" s="28"/>
      <c r="D17" s="28">
        <f>D16/$C$4</f>
        <v>14.5714285714286</v>
      </c>
      <c r="E17" s="28">
        <f>E16/$C$4</f>
        <v>29.1428571428571</v>
      </c>
      <c r="F17" s="28">
        <f>F16/$C$4</f>
        <v>43.7142857142857</v>
      </c>
      <c r="G17" s="28">
        <f>G16/$C$4</f>
        <v>58.2857142857143</v>
      </c>
      <c r="H17" s="28">
        <f>H16/$C$4</f>
        <v>72.8571428571429</v>
      </c>
      <c r="I17" s="28">
        <f>I16/$C$4</f>
        <v>87.4285714285714</v>
      </c>
      <c r="J17" s="28">
        <f>J16/$C$4</f>
        <v>14.7142857142857</v>
      </c>
      <c r="K17" s="10"/>
      <c r="L17" s="10"/>
      <c r="M17" s="10"/>
      <c r="N17" s="10"/>
    </row>
    <row r="18" ht="20.05" customHeight="1">
      <c r="A18" t="s" s="7">
        <v>75</v>
      </c>
      <c r="B18" t="s" s="7">
        <v>59</v>
      </c>
      <c r="C18" s="29"/>
      <c r="D18" s="29">
        <v>7</v>
      </c>
      <c r="E18" s="29">
        <v>14</v>
      </c>
      <c r="F18" s="29">
        <v>14</v>
      </c>
      <c r="G18" s="29">
        <v>21</v>
      </c>
      <c r="H18" s="29">
        <v>28</v>
      </c>
      <c r="I18" s="29">
        <v>28</v>
      </c>
      <c r="J18" s="29">
        <v>28</v>
      </c>
      <c r="K18" s="29">
        <v>35</v>
      </c>
      <c r="L18" s="29">
        <v>35</v>
      </c>
      <c r="M18" s="29">
        <v>35</v>
      </c>
      <c r="N18" s="29">
        <v>35</v>
      </c>
    </row>
    <row r="19" ht="20.05" customHeight="1">
      <c r="A19" t="s" s="7">
        <v>76</v>
      </c>
      <c r="B19" t="s" s="7">
        <v>59</v>
      </c>
      <c r="C19" s="29">
        <v>1.5</v>
      </c>
      <c r="D19" s="28"/>
      <c r="E19" s="28"/>
      <c r="F19" s="28"/>
      <c r="G19" s="28"/>
      <c r="H19" s="28"/>
      <c r="I19" s="28"/>
      <c r="J19" s="28"/>
      <c r="K19" s="10"/>
      <c r="L19" s="10"/>
      <c r="M19" s="10"/>
      <c r="N19" s="10"/>
    </row>
    <row r="20" ht="20.05" customHeight="1">
      <c r="A20" t="s" s="7">
        <v>77</v>
      </c>
      <c r="B20" t="s" s="7">
        <v>59</v>
      </c>
      <c r="C20" s="28"/>
      <c r="D20" s="28">
        <f>D5*$C$19</f>
        <v>1071</v>
      </c>
      <c r="E20" s="28">
        <f>E5*$C$19</f>
        <v>1071</v>
      </c>
      <c r="F20" s="28">
        <f>F5*$C$19</f>
        <v>1071</v>
      </c>
      <c r="G20" s="28">
        <f>G5*$C$19</f>
        <v>1071</v>
      </c>
      <c r="H20" s="28">
        <f>H5*$C$19</f>
        <v>1071</v>
      </c>
      <c r="I20" s="28">
        <f>I5*$C$19</f>
        <v>1071</v>
      </c>
      <c r="J20" s="28">
        <f>J5*$C$19</f>
        <v>1074</v>
      </c>
      <c r="K20" s="10"/>
      <c r="L20" s="10"/>
      <c r="M20" s="10"/>
      <c r="N20" s="10"/>
    </row>
    <row r="21" ht="20.05" customHeight="1">
      <c r="A21" t="s" s="7">
        <v>78</v>
      </c>
      <c r="B21" t="s" s="7">
        <v>59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f>D20</f>
        <v>1071</v>
      </c>
      <c r="N21" s="10">
        <f>E20</f>
        <v>1071</v>
      </c>
    </row>
    <row r="22" ht="20.05" customHeight="1">
      <c r="A22" t="s" s="7">
        <v>79</v>
      </c>
      <c r="B22" t="s" s="7">
        <v>59</v>
      </c>
      <c r="C22" s="10">
        <f>C21+C20</f>
        <v>0</v>
      </c>
      <c r="D22" s="10">
        <f>D21+D20</f>
        <v>1071</v>
      </c>
      <c r="E22" s="10">
        <f>E21+E20+D22</f>
        <v>2142</v>
      </c>
      <c r="F22" s="10">
        <f>F21+F20+E22</f>
        <v>3213</v>
      </c>
      <c r="G22" s="10">
        <f>G21+G20+F22</f>
        <v>4284</v>
      </c>
      <c r="H22" s="10">
        <f>H21+H20+G22</f>
        <v>5355</v>
      </c>
      <c r="I22" s="10">
        <f>I21+I20+H22</f>
        <v>6426</v>
      </c>
      <c r="J22" s="10">
        <f>J21+J20+I22</f>
        <v>7500</v>
      </c>
      <c r="K22" s="10">
        <f>K21+K20+J22</f>
        <v>7500</v>
      </c>
      <c r="L22" s="10">
        <f>L21+L20+K22</f>
        <v>7500</v>
      </c>
      <c r="M22" s="10">
        <f>L22</f>
        <v>7500</v>
      </c>
      <c r="N22" s="10">
        <f>M22</f>
        <v>7500</v>
      </c>
    </row>
    <row r="23" ht="20.05" customHeight="1">
      <c r="A23" s="7"/>
      <c r="B23" s="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20.05" customHeight="1">
      <c r="A24" t="s" s="7">
        <v>80</v>
      </c>
      <c r="B24" t="s" s="7">
        <v>18</v>
      </c>
      <c r="C24" s="10">
        <v>1000000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0.05" customHeight="1">
      <c r="A25" t="s" s="7">
        <v>81</v>
      </c>
      <c r="B25" t="s" s="7">
        <v>18</v>
      </c>
      <c r="C25" s="10">
        <v>100000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0.05" customHeight="1">
      <c r="A26" t="s" s="7">
        <v>82</v>
      </c>
      <c r="B26" t="s" s="7">
        <v>18</v>
      </c>
      <c r="C26" s="10">
        <v>400000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20.05" customHeight="1">
      <c r="A27" t="s" s="7">
        <v>83</v>
      </c>
      <c r="B27" t="s" s="7">
        <v>18</v>
      </c>
      <c r="C27" s="10">
        <v>65000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20.05" customHeight="1">
      <c r="A28" t="s" s="7">
        <v>84</v>
      </c>
      <c r="B28" t="s" s="7">
        <v>18</v>
      </c>
      <c r="C28" s="10">
        <v>70000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0.05" customHeight="1">
      <c r="A29" t="s" s="7">
        <v>85</v>
      </c>
      <c r="B29" t="s" s="7">
        <v>18</v>
      </c>
      <c r="C29" s="10">
        <f>$C$24*C4</f>
        <v>7000000</v>
      </c>
      <c r="D29" s="10">
        <f>$C$24*D4</f>
        <v>7000000</v>
      </c>
      <c r="E29" s="10">
        <f>$C$24*E4</f>
        <v>7000000</v>
      </c>
      <c r="F29" s="10">
        <f>$C$24*F4</f>
        <v>7000000</v>
      </c>
      <c r="G29" s="10">
        <f>$C$24*G4</f>
        <v>7000000</v>
      </c>
      <c r="H29" s="10">
        <f>$C$24*H4</f>
        <v>7000000</v>
      </c>
      <c r="I29" s="10">
        <f>$C$24*I4</f>
        <v>7000000</v>
      </c>
      <c r="J29" s="10">
        <f>$C$24*J4</f>
        <v>7000000</v>
      </c>
      <c r="K29" s="10"/>
      <c r="L29" s="10"/>
      <c r="M29" s="10"/>
      <c r="N29" s="10"/>
    </row>
    <row r="30" ht="20.05" customHeight="1">
      <c r="A30" t="s" s="7">
        <v>86</v>
      </c>
      <c r="B30" t="s" s="7">
        <v>18</v>
      </c>
      <c r="C30" s="10">
        <f>$C$25*C16</f>
        <v>0</v>
      </c>
      <c r="D30" s="10">
        <f>$C$25*D16</f>
        <v>10200000</v>
      </c>
      <c r="E30" s="10">
        <f>$C$25*E16</f>
        <v>20400000</v>
      </c>
      <c r="F30" s="10">
        <f>$C$25*F16</f>
        <v>30600000</v>
      </c>
      <c r="G30" s="10">
        <f>$C$25*G16</f>
        <v>40800000</v>
      </c>
      <c r="H30" s="10">
        <f>$C$25*H16</f>
        <v>51000000</v>
      </c>
      <c r="I30" s="10">
        <f>$C$25*I16</f>
        <v>61200000</v>
      </c>
      <c r="J30" s="10">
        <f>$C$25*J16</f>
        <v>10300000</v>
      </c>
      <c r="K30" s="10"/>
      <c r="L30" s="10"/>
      <c r="M30" s="10"/>
      <c r="N30" s="10"/>
    </row>
    <row r="31" ht="20.05" customHeight="1">
      <c r="A31" t="s" s="7">
        <v>87</v>
      </c>
      <c r="B31" t="s" s="7">
        <v>18</v>
      </c>
      <c r="C31" s="10"/>
      <c r="D31" s="10">
        <f>$C$26*(D18)</f>
        <v>2800000</v>
      </c>
      <c r="E31" s="10">
        <f>$C$26*(E18-D18)</f>
        <v>2800000</v>
      </c>
      <c r="F31" s="10">
        <f>$C$26*(F18-E18)</f>
        <v>0</v>
      </c>
      <c r="G31" s="10">
        <f>$C$26*(G18-F18)</f>
        <v>2800000</v>
      </c>
      <c r="H31" s="10">
        <f>$C$26*(H18-G18)</f>
        <v>2800000</v>
      </c>
      <c r="I31" s="10">
        <f>$C$26*(I18-H18)</f>
        <v>0</v>
      </c>
      <c r="J31" s="10">
        <f>$C$26*(J18-I18)</f>
        <v>0</v>
      </c>
      <c r="K31" s="10">
        <f>$C$26*(K18-J18)</f>
        <v>2800000</v>
      </c>
      <c r="L31" s="10">
        <f>$C$26*(L18-K18)</f>
        <v>0</v>
      </c>
      <c r="M31" s="10">
        <f>$C$26*(M18-L18)</f>
        <v>0</v>
      </c>
      <c r="N31" s="10">
        <f>$C$26*(N18-M18)</f>
        <v>0</v>
      </c>
    </row>
    <row r="32" ht="20.05" customHeight="1">
      <c r="A32" t="s" s="7">
        <v>88</v>
      </c>
      <c r="B32" t="s" s="7">
        <v>18</v>
      </c>
      <c r="C32" s="10">
        <f>$C$27*C22</f>
        <v>0</v>
      </c>
      <c r="D32" s="10">
        <f>$C$27*D20</f>
        <v>69615000</v>
      </c>
      <c r="E32" s="10">
        <f>$C$27*E20</f>
        <v>69615000</v>
      </c>
      <c r="F32" s="10">
        <f>$C$27*F20</f>
        <v>69615000</v>
      </c>
      <c r="G32" s="10">
        <f>$C$27*G20</f>
        <v>69615000</v>
      </c>
      <c r="H32" s="10">
        <f>$C$27*H20</f>
        <v>69615000</v>
      </c>
      <c r="I32" s="10">
        <f>$C$27*I20</f>
        <v>69615000</v>
      </c>
      <c r="J32" s="10">
        <f>$C$27*J20</f>
        <v>69810000</v>
      </c>
      <c r="K32" s="10">
        <f>$C$27*K20</f>
        <v>0</v>
      </c>
      <c r="L32" s="10">
        <f>$C$27*L20</f>
        <v>0</v>
      </c>
      <c r="M32" s="10">
        <f>$C$27*M21</f>
        <v>69615000</v>
      </c>
      <c r="N32" s="10">
        <f>$C$27*N21</f>
        <v>69615000</v>
      </c>
    </row>
    <row r="33" ht="20.05" customHeight="1">
      <c r="A33" t="s" s="7">
        <v>89</v>
      </c>
      <c r="B33" t="s" s="7">
        <v>18</v>
      </c>
      <c r="C33" s="10">
        <f>$C$28*C5</f>
        <v>0</v>
      </c>
      <c r="D33" s="10">
        <f>$C$28*D5</f>
        <v>49980000</v>
      </c>
      <c r="E33" s="10">
        <f>$C$28*E5</f>
        <v>49980000</v>
      </c>
      <c r="F33" s="10">
        <f>$C$28*F5</f>
        <v>49980000</v>
      </c>
      <c r="G33" s="10">
        <f>$C$28*G5</f>
        <v>49980000</v>
      </c>
      <c r="H33" s="10">
        <f>$C$28*H5</f>
        <v>49980000</v>
      </c>
      <c r="I33" s="10">
        <f>$C$28*I5</f>
        <v>49980000</v>
      </c>
      <c r="J33" s="10">
        <f>$C$28*J5</f>
        <v>50120000</v>
      </c>
      <c r="K33" s="10"/>
      <c r="L33" s="10"/>
      <c r="M33" s="10"/>
      <c r="N33" s="10"/>
    </row>
    <row r="34" ht="20.05" customHeight="1">
      <c r="A34" t="s" s="7">
        <v>23</v>
      </c>
      <c r="B34" t="s" s="7">
        <v>18</v>
      </c>
      <c r="C34" s="10">
        <f>SUM(D34:J34)</f>
        <v>3000000</v>
      </c>
      <c r="D34" s="10">
        <v>1000000</v>
      </c>
      <c r="E34" s="10">
        <v>500000</v>
      </c>
      <c r="F34" s="10">
        <v>500000</v>
      </c>
      <c r="G34" s="10">
        <v>500000</v>
      </c>
      <c r="H34" s="10">
        <v>500000</v>
      </c>
      <c r="I34" s="10"/>
      <c r="J34" s="10"/>
      <c r="K34" s="10"/>
      <c r="L34" s="10"/>
      <c r="M34" s="10"/>
      <c r="N34" s="10"/>
    </row>
    <row r="35" ht="20.05" customHeight="1">
      <c r="A35" t="s" s="7">
        <v>24</v>
      </c>
      <c r="B35" t="s" s="7">
        <v>18</v>
      </c>
      <c r="C35" s="10">
        <v>2000000</v>
      </c>
      <c r="D35" s="10">
        <f>C35</f>
        <v>2000000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20.05" customHeight="1">
      <c r="A36" t="s" s="7">
        <v>38</v>
      </c>
      <c r="B36" t="s" s="7">
        <v>18</v>
      </c>
      <c r="C36" s="10">
        <v>10000000</v>
      </c>
      <c r="D36" s="10">
        <f>$C$36/2</f>
        <v>5000000</v>
      </c>
      <c r="E36" s="10">
        <f>$C$36/2</f>
        <v>5000000</v>
      </c>
      <c r="F36" s="10"/>
      <c r="G36" s="10"/>
      <c r="H36" s="10"/>
      <c r="I36" s="10"/>
      <c r="J36" s="10"/>
      <c r="K36" s="10"/>
      <c r="L36" s="10"/>
      <c r="M36" s="10"/>
      <c r="N36" s="10"/>
    </row>
    <row r="37" ht="20.05" customHeight="1">
      <c r="A37" t="s" s="7">
        <v>39</v>
      </c>
      <c r="B37" t="s" s="7">
        <v>18</v>
      </c>
      <c r="C37" s="10">
        <v>5000000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20.05" customHeight="1">
      <c r="A38" t="s" s="5">
        <v>90</v>
      </c>
      <c r="B38" t="s" s="5">
        <v>18</v>
      </c>
      <c r="C38" s="11">
        <f>SUM(D38:J38)</f>
        <v>1137200000</v>
      </c>
      <c r="D38" s="11">
        <f>SUM(D29:D37)</f>
        <v>147595000</v>
      </c>
      <c r="E38" s="11">
        <f>SUM(E29:E37)</f>
        <v>155295000</v>
      </c>
      <c r="F38" s="11">
        <f>SUM(F29:F37)</f>
        <v>157695000</v>
      </c>
      <c r="G38" s="11">
        <f>SUM(G29:G37)</f>
        <v>170695000</v>
      </c>
      <c r="H38" s="11">
        <f>SUM(H29:H37)</f>
        <v>180895000</v>
      </c>
      <c r="I38" s="11">
        <f>SUM(I29:I37)</f>
        <v>187795000</v>
      </c>
      <c r="J38" s="11">
        <f>SUM(J29:J37)</f>
        <v>137230000</v>
      </c>
      <c r="K38" s="11">
        <f>SUM(K29:K37)</f>
        <v>2800000</v>
      </c>
      <c r="L38" s="11">
        <f>SUM(L29:L37)</f>
        <v>0</v>
      </c>
      <c r="M38" s="11">
        <f>SUM(M29:M37)</f>
        <v>69615000</v>
      </c>
      <c r="N38" s="11">
        <f>SUM(N29:N37)</f>
        <v>69615000</v>
      </c>
    </row>
    <row r="39" ht="20.05" customHeight="1">
      <c r="A39" s="6"/>
      <c r="B39" s="6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ht="20.05" customHeight="1">
      <c r="A40" s="6"/>
      <c r="B40" s="6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20.05" customHeight="1">
      <c r="A41" s="6"/>
      <c r="B41" s="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ht="20.05" customHeight="1">
      <c r="A42" s="5"/>
      <c r="B42" s="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ht="20.05" customHeight="1">
      <c r="A43" s="7"/>
      <c r="B43" s="7"/>
      <c r="C43" s="3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20.05" customHeight="1">
      <c r="A44" s="7"/>
      <c r="B44" s="7"/>
      <c r="C44" s="3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0.05" customHeight="1">
      <c r="A45" s="5"/>
      <c r="B45" s="5"/>
      <c r="C45" s="3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ht="20.05" customHeight="1">
      <c r="A46" s="6"/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20.05" customHeight="1">
      <c r="A47" s="5"/>
      <c r="B47" s="3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20.05" customHeight="1">
      <c r="A48" s="7"/>
      <c r="B48" s="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20.05" customHeight="1">
      <c r="A49" s="7"/>
      <c r="B49" s="7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20.05" customHeight="1">
      <c r="A50" s="7"/>
      <c r="B50" s="7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ht="20.05" customHeight="1">
      <c r="A51" s="7"/>
      <c r="B51" s="7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ht="20.05" customHeight="1">
      <c r="A52" s="7"/>
      <c r="B52" s="7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20.05" customHeight="1">
      <c r="A53" s="7"/>
      <c r="B53" s="7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ht="20.05" customHeight="1">
      <c r="A54" s="6"/>
      <c r="B54" s="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ht="20.05" customHeight="1">
      <c r="A55" s="5"/>
      <c r="B55" s="6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20.05" customHeight="1">
      <c r="A56" s="7"/>
      <c r="B56" s="7"/>
      <c r="C56" s="32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ht="20.05" customHeight="1">
      <c r="A57" s="7"/>
      <c r="B57" s="7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ht="20.05" customHeight="1">
      <c r="A58" s="7"/>
      <c r="B58" s="7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ht="20.05" customHeight="1">
      <c r="A59" s="6"/>
      <c r="B59" s="6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ht="32.05" customHeight="1">
      <c r="A60" s="5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20.05" customHeight="1">
      <c r="A61" s="7"/>
      <c r="B61" s="15"/>
      <c r="C61" s="30"/>
      <c r="D61" s="10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 ht="20.05" customHeight="1">
      <c r="A62" s="7"/>
      <c r="B62" s="15"/>
      <c r="C62" s="30"/>
      <c r="D62" s="10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 ht="20.05" customHeight="1">
      <c r="A63" s="7"/>
      <c r="B63" s="15"/>
      <c r="C63" s="30"/>
      <c r="D63" s="10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 ht="20.05" customHeight="1">
      <c r="A64" s="7"/>
      <c r="B64" s="15"/>
      <c r="C64" s="30"/>
      <c r="D64" s="10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ht="20.05" customHeight="1">
      <c r="A65" s="7"/>
      <c r="B65" s="15"/>
      <c r="C65" s="30"/>
      <c r="D65" s="10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ht="20.05" customHeight="1">
      <c r="A66" s="6"/>
      <c r="B66" s="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ht="20.05" customHeight="1">
      <c r="A67" s="5"/>
      <c r="B67" s="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ht="20.05" customHeight="1">
      <c r="A68" s="7"/>
      <c r="B68" s="7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20.05" customHeight="1">
      <c r="A69" s="6"/>
      <c r="B69" s="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20.05" customHeight="1">
      <c r="A70" s="6"/>
      <c r="B70" s="6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ht="20.05" customHeight="1">
      <c r="A71" s="6"/>
      <c r="B71" s="6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ht="20.05" customHeight="1">
      <c r="A72" s="6"/>
      <c r="B72" s="6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33"/>
  <sheetViews>
    <sheetView workbookViewId="0" showGridLines="0" defaultGridColor="1"/>
  </sheetViews>
  <sheetFormatPr defaultColWidth="16.3333" defaultRowHeight="19.9" customHeight="1" outlineLevelRow="0" outlineLevelCol="0"/>
  <cols>
    <col min="1" max="1" width="45.1719" style="34" customWidth="1"/>
    <col min="2" max="2" width="9.85156" style="34" customWidth="1"/>
    <col min="3" max="3" width="13.8516" style="34" customWidth="1"/>
    <col min="4" max="14" width="16.3516" style="34" customWidth="1"/>
    <col min="15" max="16384" width="16.3516" style="34" customWidth="1"/>
  </cols>
  <sheetData>
    <row r="1" ht="20.05" customHeight="1">
      <c r="A1" t="s" s="2">
        <v>91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0.05" customHeight="1">
      <c r="A2" t="s" s="5">
        <v>1</v>
      </c>
      <c r="B2" t="s" s="5">
        <v>2</v>
      </c>
      <c r="C2" t="s" s="5">
        <v>55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27">
        <v>14</v>
      </c>
    </row>
    <row r="3" ht="20.05" customHeight="1">
      <c r="A3" t="s" s="7">
        <v>92</v>
      </c>
      <c r="B3" t="s" s="7">
        <v>59</v>
      </c>
      <c r="C3" s="28">
        <v>5000</v>
      </c>
      <c r="D3" s="10">
        <f>'ASSUMPTIONS_DATA'!D5</f>
        <v>714</v>
      </c>
      <c r="E3" s="10">
        <f>'ASSUMPTIONS_DATA'!E5+D3</f>
        <v>1428</v>
      </c>
      <c r="F3" s="10">
        <f>'ASSUMPTIONS_DATA'!F5+E3</f>
        <v>2142</v>
      </c>
      <c r="G3" s="10">
        <f>'ASSUMPTIONS_DATA'!G5+F3</f>
        <v>2856</v>
      </c>
      <c r="H3" s="10">
        <f>'ASSUMPTIONS_DATA'!H5+G3</f>
        <v>3570</v>
      </c>
      <c r="I3" s="10">
        <f>'ASSUMPTIONS_DATA'!I5+H3</f>
        <v>4284</v>
      </c>
      <c r="J3" s="10">
        <f>'ASSUMPTIONS_DATA'!J5+I3</f>
        <v>5000</v>
      </c>
      <c r="K3" s="10">
        <f>'ASSUMPTIONS_DATA'!K5+J3</f>
        <v>5000</v>
      </c>
      <c r="L3" s="10">
        <f>'ASSUMPTIONS_DATA'!L5+K3</f>
        <v>5000</v>
      </c>
      <c r="M3" s="10">
        <f>'ASSUMPTIONS_DATA'!M5+L3</f>
        <v>5000</v>
      </c>
      <c r="N3" s="10">
        <f>'ASSUMPTIONS_DATA'!N5+M3</f>
        <v>5000</v>
      </c>
    </row>
    <row r="4" ht="20.05" customHeight="1">
      <c r="A4" t="s" s="7">
        <v>93</v>
      </c>
      <c r="B4" t="s" s="7">
        <v>94</v>
      </c>
      <c r="C4" s="28">
        <v>60000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0.05" customHeight="1">
      <c r="A5" t="s" s="35">
        <v>95</v>
      </c>
      <c r="B5" t="s" s="7">
        <v>94</v>
      </c>
      <c r="C5" s="28">
        <v>60000</v>
      </c>
      <c r="D5" s="10">
        <f>$C$4*D3</f>
        <v>42840000</v>
      </c>
      <c r="E5" s="10">
        <f>$C$4*E3</f>
        <v>85680000</v>
      </c>
      <c r="F5" s="10">
        <f>$C$4*F3</f>
        <v>128520000</v>
      </c>
      <c r="G5" s="10">
        <f>$C$4*G3</f>
        <v>171360000</v>
      </c>
      <c r="H5" s="10">
        <f>$C$4*H3</f>
        <v>214200000</v>
      </c>
      <c r="I5" s="10">
        <f>$C$4*I3</f>
        <v>257040000</v>
      </c>
      <c r="J5" s="10">
        <f>$C$4*J3</f>
        <v>300000000</v>
      </c>
      <c r="K5" s="10">
        <f>$C$4*K3</f>
        <v>300000000</v>
      </c>
      <c r="L5" s="10">
        <f>$C$4*L3</f>
        <v>300000000</v>
      </c>
      <c r="M5" s="10">
        <f>$C$4*M3</f>
        <v>300000000</v>
      </c>
      <c r="N5" s="10">
        <f>$C$4*N3</f>
        <v>300000000</v>
      </c>
    </row>
    <row r="6" ht="20.05" customHeight="1">
      <c r="A6" t="s" s="7">
        <v>96</v>
      </c>
      <c r="B6" t="s" s="7">
        <v>97</v>
      </c>
      <c r="C6" s="28">
        <v>588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0.05" customHeight="1">
      <c r="A7" t="s" s="7">
        <v>98</v>
      </c>
      <c r="B7" t="s" s="7">
        <v>94</v>
      </c>
      <c r="C7" s="28">
        <v>350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0.05" customHeight="1">
      <c r="A8" t="s" s="7">
        <v>99</v>
      </c>
      <c r="B8" t="s" s="7">
        <v>94</v>
      </c>
      <c r="C8" s="28">
        <v>220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0.05" customHeight="1">
      <c r="A9" t="s" s="7">
        <v>100</v>
      </c>
      <c r="B9" t="s" s="7">
        <v>97</v>
      </c>
      <c r="C9" s="10">
        <f>C6/C8</f>
        <v>2.67272727272727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0.05" customHeight="1">
      <c r="A10" t="s" s="7">
        <v>101</v>
      </c>
      <c r="B10" t="s" s="7">
        <v>97</v>
      </c>
      <c r="C10" s="28">
        <f>C5*C9</f>
        <v>160363.636363636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0.05" customHeight="1">
      <c r="A11" t="s" s="7">
        <v>101</v>
      </c>
      <c r="B11" t="s" s="7">
        <v>102</v>
      </c>
      <c r="C11" s="28">
        <f>C10/1000</f>
        <v>160.363636363636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0.05" customHeight="1">
      <c r="A12" t="s" s="7">
        <v>103</v>
      </c>
      <c r="B12" t="s" s="7">
        <v>102</v>
      </c>
      <c r="C12" s="28"/>
      <c r="D12" s="10">
        <f>$C$11*D3</f>
        <v>114499.636363636</v>
      </c>
      <c r="E12" s="10">
        <f>$C$11*E3</f>
        <v>228999.272727272</v>
      </c>
      <c r="F12" s="10">
        <f>$C$11*F3</f>
        <v>343498.909090908</v>
      </c>
      <c r="G12" s="10">
        <f>$C$11*G3</f>
        <v>457998.545454544</v>
      </c>
      <c r="H12" s="10">
        <f>$C$11*H3</f>
        <v>572498.181818181</v>
      </c>
      <c r="I12" s="10">
        <f>$C$11*I3</f>
        <v>686997.818181817</v>
      </c>
      <c r="J12" s="10">
        <f>$C$11*J3</f>
        <v>801818.18181818</v>
      </c>
      <c r="K12" s="10">
        <f>$C$11*K3</f>
        <v>801818.18181818</v>
      </c>
      <c r="L12" s="10">
        <f>$C$11*L3</f>
        <v>801818.18181818</v>
      </c>
      <c r="M12" s="10">
        <f>$C$11*M3</f>
        <v>801818.18181818</v>
      </c>
      <c r="N12" s="10">
        <f>$C$11*N3</f>
        <v>801818.18181818</v>
      </c>
    </row>
    <row r="13" ht="20.05" customHeight="1">
      <c r="A13" t="s" s="7">
        <v>104</v>
      </c>
      <c r="B13" t="s" s="7">
        <v>68</v>
      </c>
      <c r="C13" s="28">
        <v>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0.05" customHeight="1">
      <c r="A14" t="s" s="7">
        <v>105</v>
      </c>
      <c r="B14" t="s" s="7">
        <v>97</v>
      </c>
      <c r="C14" s="28">
        <v>588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0.05" customHeight="1">
      <c r="A15" t="s" s="7">
        <v>106</v>
      </c>
      <c r="B15" t="s" s="7">
        <v>107</v>
      </c>
      <c r="C15" s="28">
        <f>C14/C13</f>
        <v>588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32.05" customHeight="1">
      <c r="A16" t="s" s="7">
        <v>108</v>
      </c>
      <c r="B16" t="s" s="7">
        <v>50</v>
      </c>
      <c r="C16" s="33">
        <v>0.1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0.05" customHeight="1">
      <c r="A17" t="s" s="7">
        <v>109</v>
      </c>
      <c r="B17" t="s" s="7">
        <v>50</v>
      </c>
      <c r="C17" s="33">
        <v>0.2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0.05" customHeight="1">
      <c r="A18" t="s" s="7">
        <v>109</v>
      </c>
      <c r="B18" t="s" s="7">
        <v>97</v>
      </c>
      <c r="C18" s="28">
        <f>C14*C17</f>
        <v>117.6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0.05" customHeight="1">
      <c r="A19" t="s" s="7">
        <v>110</v>
      </c>
      <c r="B19" t="s" s="7">
        <v>107</v>
      </c>
      <c r="C19" s="28">
        <f>C14-C18</f>
        <v>470.4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0.05" customHeight="1">
      <c r="A20" t="s" s="7">
        <v>111</v>
      </c>
      <c r="B20" t="s" s="7">
        <v>107</v>
      </c>
      <c r="C20" s="28">
        <f>C19*1.1</f>
        <v>517.4400000000001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0.05" customHeight="1">
      <c r="A21" t="s" s="7">
        <v>112</v>
      </c>
      <c r="B21" t="s" s="7">
        <v>68</v>
      </c>
      <c r="C21" s="28">
        <v>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20.05" customHeight="1">
      <c r="A22" t="s" s="7">
        <v>113</v>
      </c>
      <c r="B22" t="s" s="7">
        <v>97</v>
      </c>
      <c r="C22" s="28">
        <f>C20*C21</f>
        <v>3622.08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ht="20.05" customHeight="1">
      <c r="A23" s="7"/>
      <c r="B23" t="s" s="7">
        <v>102</v>
      </c>
      <c r="C23" s="28">
        <f>C22/1000</f>
        <v>3.62208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ht="20.05" customHeight="1">
      <c r="A24" t="s" s="7">
        <v>114</v>
      </c>
      <c r="B24" t="s" s="7">
        <v>59</v>
      </c>
      <c r="C24" s="28">
        <f>'ASSUMPTIONS_DATA'!C16</f>
        <v>0</v>
      </c>
      <c r="D24" s="28">
        <f>'ASSUMPTIONS_DATA'!D16</f>
        <v>102</v>
      </c>
      <c r="E24" s="28">
        <f>'ASSUMPTIONS_DATA'!E16+D24</f>
        <v>306</v>
      </c>
      <c r="F24" s="28">
        <f>'ASSUMPTIONS_DATA'!F16+E24</f>
        <v>612</v>
      </c>
      <c r="G24" s="28">
        <f>'ASSUMPTIONS_DATA'!G16+F24</f>
        <v>1020</v>
      </c>
      <c r="H24" s="28">
        <f>'ASSUMPTIONS_DATA'!H16+G24</f>
        <v>1530</v>
      </c>
      <c r="I24" s="28">
        <f>'ASSUMPTIONS_DATA'!I16+H24</f>
        <v>2142</v>
      </c>
      <c r="J24" s="28">
        <f>'ASSUMPTIONS_DATA'!J16+I24</f>
        <v>2245</v>
      </c>
      <c r="K24" s="28">
        <f>'ASSUMPTIONS_DATA'!K16+J24</f>
        <v>2245</v>
      </c>
      <c r="L24" s="28">
        <f>'ASSUMPTIONS_DATA'!L16+K24</f>
        <v>2245</v>
      </c>
      <c r="M24" s="28">
        <f>'ASSUMPTIONS_DATA'!M16+L24</f>
        <v>2245</v>
      </c>
      <c r="N24" s="28">
        <f>'ASSUMPTIONS_DATA'!N16+M24</f>
        <v>2245</v>
      </c>
    </row>
    <row r="25" ht="20.05" customHeight="1">
      <c r="A25" t="s" s="7">
        <v>115</v>
      </c>
      <c r="B25" t="s" s="7">
        <v>102</v>
      </c>
      <c r="C25" s="28">
        <f>C24*$C$23</f>
        <v>0</v>
      </c>
      <c r="D25" s="28">
        <f>D24*$C$23</f>
        <v>369.45216</v>
      </c>
      <c r="E25" s="28">
        <f>E24*$C$23</f>
        <v>1108.35648</v>
      </c>
      <c r="F25" s="28">
        <f>F24*$C$23</f>
        <v>2216.71296</v>
      </c>
      <c r="G25" s="28">
        <f>G24*$C$23</f>
        <v>3694.5216</v>
      </c>
      <c r="H25" s="28">
        <f>H24*$C$23</f>
        <v>5541.7824</v>
      </c>
      <c r="I25" s="28">
        <f>I24*$C$23</f>
        <v>7758.49536</v>
      </c>
      <c r="J25" s="28">
        <f>J24*$C$23</f>
        <v>8131.5696</v>
      </c>
      <c r="K25" s="28">
        <f>K24*$C$23</f>
        <v>8131.5696</v>
      </c>
      <c r="L25" s="28">
        <f>L24*$C$23</f>
        <v>8131.5696</v>
      </c>
      <c r="M25" s="28">
        <f>M24*$C$23</f>
        <v>8131.5696</v>
      </c>
      <c r="N25" s="28">
        <f>N24*$C$23</f>
        <v>8131.5696</v>
      </c>
    </row>
    <row r="26" ht="20.05" customHeight="1">
      <c r="A26" t="s" s="7">
        <v>116</v>
      </c>
      <c r="B26" t="s" s="7">
        <v>117</v>
      </c>
      <c r="C26" s="28">
        <f>C25/$C$21</f>
        <v>0</v>
      </c>
      <c r="D26" s="28">
        <f>D25/$C$21</f>
        <v>52.77888</v>
      </c>
      <c r="E26" s="28">
        <f>E25/$C$21</f>
        <v>158.33664</v>
      </c>
      <c r="F26" s="28">
        <f>F25/$C$21</f>
        <v>316.67328</v>
      </c>
      <c r="G26" s="28">
        <f>G25/$C$21</f>
        <v>527.7888</v>
      </c>
      <c r="H26" s="28">
        <f>H25/$C$21</f>
        <v>791.6832000000001</v>
      </c>
      <c r="I26" s="28">
        <f>I25/$C$21</f>
        <v>1108.35648</v>
      </c>
      <c r="J26" s="28">
        <f>J25/$C$21</f>
        <v>1161.6528</v>
      </c>
      <c r="K26" s="28">
        <f>K25/$C$21</f>
        <v>1161.6528</v>
      </c>
      <c r="L26" s="28">
        <f>L25/$C$21</f>
        <v>1161.6528</v>
      </c>
      <c r="M26" s="28">
        <f>M25/$C$21</f>
        <v>1161.6528</v>
      </c>
      <c r="N26" s="28">
        <f>N25/$C$21</f>
        <v>1161.6528</v>
      </c>
    </row>
    <row r="27" ht="20.05" customHeight="1">
      <c r="A27" t="s" s="7">
        <v>118</v>
      </c>
      <c r="B27" t="s" s="7">
        <v>107</v>
      </c>
      <c r="C27" s="28"/>
      <c r="D27" s="10">
        <f>D5*$C$9</f>
        <v>114499636.363636</v>
      </c>
      <c r="E27" s="10">
        <f>E5*$C$9</f>
        <v>228999272.727272</v>
      </c>
      <c r="F27" s="10">
        <f>F5*$C$9</f>
        <v>343498909.090909</v>
      </c>
      <c r="G27" s="10">
        <f>G5*$C$9</f>
        <v>457998545.454545</v>
      </c>
      <c r="H27" s="10">
        <f>H5*$C$9</f>
        <v>572498181.818181</v>
      </c>
      <c r="I27" s="10">
        <f>I5*$C$9</f>
        <v>686997818.1818171</v>
      </c>
      <c r="J27" s="10">
        <f>J5*$C$9</f>
        <v>801818181.818181</v>
      </c>
      <c r="K27" s="10">
        <f>K5*$C$9</f>
        <v>801818181.818181</v>
      </c>
      <c r="L27" s="10">
        <f>L5*$C$9</f>
        <v>801818181.818181</v>
      </c>
      <c r="M27" s="10">
        <f>M5*$C$9</f>
        <v>801818181.818181</v>
      </c>
      <c r="N27" s="10">
        <f>N5*$C$9</f>
        <v>801818181.818181</v>
      </c>
    </row>
    <row r="28" ht="20.05" customHeight="1">
      <c r="A28" t="s" s="7">
        <v>119</v>
      </c>
      <c r="B28" t="s" s="7">
        <v>120</v>
      </c>
      <c r="C28" s="28">
        <v>7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0.05" customHeight="1">
      <c r="A29" t="s" s="7">
        <v>119</v>
      </c>
      <c r="B29" t="s" s="7">
        <v>18</v>
      </c>
      <c r="C29" s="32">
        <f>C28/155</f>
        <v>0.0451612903225806</v>
      </c>
      <c r="D29" s="32">
        <f>C29</f>
        <v>0.0451612903225806</v>
      </c>
      <c r="E29" s="32">
        <f>D29*1.1</f>
        <v>0.0496774193548387</v>
      </c>
      <c r="F29" s="32">
        <f>E29*1.1</f>
        <v>0.0546451612903226</v>
      </c>
      <c r="G29" s="32">
        <f>F29*1.1</f>
        <v>0.0601096774193549</v>
      </c>
      <c r="H29" s="32">
        <f>G29*1.1</f>
        <v>0.0661206451612904</v>
      </c>
      <c r="I29" s="32">
        <f>H29*1.1</f>
        <v>0.0727327096774194</v>
      </c>
      <c r="J29" s="32">
        <f>I29*1.1</f>
        <v>0.0800059806451613</v>
      </c>
      <c r="K29" s="32">
        <f>J29*1.1</f>
        <v>0.0880065787096774</v>
      </c>
      <c r="L29" s="32">
        <f>K29*1.1</f>
        <v>0.09680723658064511</v>
      </c>
      <c r="M29" s="32">
        <f>L29*1.1</f>
        <v>0.10648796023871</v>
      </c>
      <c r="N29" s="32">
        <f>M29*1.1</f>
        <v>0.117136756262581</v>
      </c>
    </row>
    <row r="30" ht="20.05" customHeight="1">
      <c r="A30" t="s" s="7">
        <v>121</v>
      </c>
      <c r="B30" t="s" s="7">
        <v>18</v>
      </c>
      <c r="C30" s="28"/>
      <c r="D30" s="10">
        <f>D27*D29</f>
        <v>5170951.31964807</v>
      </c>
      <c r="E30" s="10">
        <f>E27*E29</f>
        <v>11376092.9032258</v>
      </c>
      <c r="F30" s="10">
        <f>F27*F29</f>
        <v>18770553.2903226</v>
      </c>
      <c r="G30" s="10">
        <f>G27*G29</f>
        <v>27530144.8258065</v>
      </c>
      <c r="H30" s="10">
        <f>H27*H29</f>
        <v>37853949.1354839</v>
      </c>
      <c r="I30" s="10">
        <f>I27*I29</f>
        <v>49967212.8588387</v>
      </c>
      <c r="J30" s="10">
        <f>J27*J29</f>
        <v>64150249.9354838</v>
      </c>
      <c r="K30" s="10">
        <f>K27*K29</f>
        <v>70565274.92903221</v>
      </c>
      <c r="L30" s="10">
        <f>L27*L29</f>
        <v>77621802.42193539</v>
      </c>
      <c r="M30" s="10">
        <f>M27*M29</f>
        <v>85383982.6641292</v>
      </c>
      <c r="N30" s="10">
        <f>N27*N29</f>
        <v>93922380.9305421</v>
      </c>
    </row>
    <row r="31" ht="20.05" customHeight="1">
      <c r="A31" s="6"/>
      <c r="B31" s="6"/>
      <c r="C31" s="2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ht="20.05" customHeight="1">
      <c r="A32" s="6"/>
      <c r="B32" s="6"/>
      <c r="C32" s="28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ht="20.05" customHeight="1">
      <c r="A33" s="6"/>
      <c r="B33" s="6"/>
      <c r="C33" s="28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59"/>
  <sheetViews>
    <sheetView workbookViewId="0" showGridLines="0" defaultGridColor="1"/>
  </sheetViews>
  <sheetFormatPr defaultColWidth="16.3333" defaultRowHeight="19.9" customHeight="1" outlineLevelRow="0" outlineLevelCol="0"/>
  <cols>
    <col min="1" max="1" width="57.2578" style="36" customWidth="1"/>
    <col min="2" max="2" width="25.1719" style="36" customWidth="1"/>
    <col min="3" max="3" width="12.3516" style="36" customWidth="1"/>
    <col min="4" max="4" width="9.17188" style="36" customWidth="1"/>
    <col min="5" max="16" width="14.1719" style="36" customWidth="1"/>
    <col min="17" max="16384" width="16.3516" style="36" customWidth="1"/>
  </cols>
  <sheetData>
    <row r="1" ht="20.05" customHeight="1">
      <c r="A1" t="s" s="2">
        <v>122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ht="32.05" customHeight="1">
      <c r="A2" t="s" s="5">
        <v>1</v>
      </c>
      <c r="B2" t="s" s="5">
        <v>123</v>
      </c>
      <c r="C2" t="s" s="5">
        <v>124</v>
      </c>
      <c r="D2" t="s" s="5">
        <v>2</v>
      </c>
      <c r="E2" t="s" s="5">
        <v>3</v>
      </c>
      <c r="F2" t="s" s="5">
        <v>4</v>
      </c>
      <c r="G2" t="s" s="5">
        <v>5</v>
      </c>
      <c r="H2" t="s" s="5">
        <v>6</v>
      </c>
      <c r="I2" t="s" s="5">
        <v>7</v>
      </c>
      <c r="J2" t="s" s="5">
        <v>8</v>
      </c>
      <c r="K2" t="s" s="5">
        <v>9</v>
      </c>
      <c r="L2" t="s" s="5">
        <v>10</v>
      </c>
      <c r="M2" t="s" s="5">
        <v>11</v>
      </c>
      <c r="N2" t="s" s="5">
        <v>12</v>
      </c>
      <c r="O2" t="s" s="5">
        <v>13</v>
      </c>
      <c r="P2" t="s" s="5">
        <v>14</v>
      </c>
    </row>
    <row r="3" ht="32.05" customHeight="1">
      <c r="A3" t="s" s="7">
        <v>21</v>
      </c>
      <c r="B3" t="s" s="7">
        <v>125</v>
      </c>
      <c r="C3" s="37">
        <v>12</v>
      </c>
      <c r="D3" t="s" s="7">
        <v>18</v>
      </c>
      <c r="E3" s="10">
        <f>'ASSUMPTIONS_DATA'!D29</f>
        <v>7000000</v>
      </c>
      <c r="F3" s="10">
        <f>'ASSUMPTIONS_DATA'!E29</f>
        <v>7000000</v>
      </c>
      <c r="G3" s="10">
        <f>'ASSUMPTIONS_DATA'!F29</f>
        <v>7000000</v>
      </c>
      <c r="H3" s="10">
        <f>'ASSUMPTIONS_DATA'!G29</f>
        <v>7000000</v>
      </c>
      <c r="I3" s="10">
        <f>'ASSUMPTIONS_DATA'!H29</f>
        <v>7000000</v>
      </c>
      <c r="J3" s="10">
        <f>'ASSUMPTIONS_DATA'!I29</f>
        <v>7000000</v>
      </c>
      <c r="K3" s="10">
        <f>'ASSUMPTIONS_DATA'!J29</f>
        <v>7000000</v>
      </c>
      <c r="L3" s="10">
        <f>'ASSUMPTIONS_DATA'!K29</f>
        <v>0</v>
      </c>
      <c r="M3" s="10">
        <f>'ASSUMPTIONS_DATA'!L29</f>
        <v>0</v>
      </c>
      <c r="N3" s="10">
        <f>'ASSUMPTIONS_DATA'!M29</f>
        <v>0</v>
      </c>
      <c r="O3" s="10">
        <f>'ASSUMPTIONS_DATA'!N29</f>
        <v>0</v>
      </c>
      <c r="P3" s="10">
        <f>'ASSUMPTIONS_DATA'!N29</f>
        <v>0</v>
      </c>
    </row>
    <row r="4" ht="32.05" customHeight="1">
      <c r="A4" t="s" s="7">
        <v>22</v>
      </c>
      <c r="B4" t="s" s="7">
        <v>126</v>
      </c>
      <c r="C4" s="37">
        <v>12</v>
      </c>
      <c r="D4" t="s" s="7">
        <v>18</v>
      </c>
      <c r="E4" s="10">
        <f>'ASSUMPTIONS_DATA'!D30</f>
        <v>10200000</v>
      </c>
      <c r="F4" s="10">
        <f>'ASSUMPTIONS_DATA'!E30</f>
        <v>20400000</v>
      </c>
      <c r="G4" s="10">
        <f>'ASSUMPTIONS_DATA'!F30</f>
        <v>30600000</v>
      </c>
      <c r="H4" s="10">
        <f>'ASSUMPTIONS_DATA'!G30</f>
        <v>40800000</v>
      </c>
      <c r="I4" s="10">
        <f>'ASSUMPTIONS_DATA'!H30</f>
        <v>51000000</v>
      </c>
      <c r="J4" s="10">
        <f>'ASSUMPTIONS_DATA'!I30</f>
        <v>61200000</v>
      </c>
      <c r="K4" s="10">
        <f>'ASSUMPTIONS_DATA'!J30</f>
        <v>10300000</v>
      </c>
      <c r="L4" s="10">
        <f>'ASSUMPTIONS_DATA'!K30</f>
        <v>0</v>
      </c>
      <c r="M4" s="10">
        <f>'ASSUMPTIONS_DATA'!L30</f>
        <v>0</v>
      </c>
      <c r="N4" s="10">
        <f>'ASSUMPTIONS_DATA'!M30</f>
        <v>0</v>
      </c>
      <c r="O4" s="10">
        <f>'ASSUMPTIONS_DATA'!N30</f>
        <v>0</v>
      </c>
      <c r="P4" s="10">
        <f>'ASSUMPTIONS_DATA'!N30</f>
        <v>0</v>
      </c>
    </row>
    <row r="5" ht="32.05" customHeight="1">
      <c r="A5" t="s" s="7">
        <v>37</v>
      </c>
      <c r="B5" t="s" s="7">
        <v>37</v>
      </c>
      <c r="C5" s="37">
        <v>10</v>
      </c>
      <c r="D5" t="s" s="7">
        <v>18</v>
      </c>
      <c r="E5" s="10">
        <f>'ASSUMPTIONS_DATA'!D31</f>
        <v>2800000</v>
      </c>
      <c r="F5" s="10">
        <f>'ASSUMPTIONS_DATA'!E31</f>
        <v>2800000</v>
      </c>
      <c r="G5" s="10">
        <f>'ASSUMPTIONS_DATA'!F31</f>
        <v>0</v>
      </c>
      <c r="H5" s="10">
        <f>'ASSUMPTIONS_DATA'!G31</f>
        <v>2800000</v>
      </c>
      <c r="I5" s="10">
        <f>'ASSUMPTIONS_DATA'!H31</f>
        <v>2800000</v>
      </c>
      <c r="J5" s="10">
        <f>'ASSUMPTIONS_DATA'!I31</f>
        <v>0</v>
      </c>
      <c r="K5" s="10">
        <f>'ASSUMPTIONS_DATA'!J31</f>
        <v>0</v>
      </c>
      <c r="L5" s="10">
        <f>'ASSUMPTIONS_DATA'!K31</f>
        <v>2800000</v>
      </c>
      <c r="M5" s="10">
        <f>'ASSUMPTIONS_DATA'!L31</f>
        <v>0</v>
      </c>
      <c r="N5" s="10">
        <f>'ASSUMPTIONS_DATA'!M31</f>
        <v>0</v>
      </c>
      <c r="O5" s="10">
        <f>'ASSUMPTIONS_DATA'!N31</f>
        <v>0</v>
      </c>
      <c r="P5" s="10">
        <f>'ASSUMPTIONS_DATA'!N31</f>
        <v>0</v>
      </c>
    </row>
    <row r="6" ht="32.05" customHeight="1">
      <c r="A6" t="s" s="7">
        <v>23</v>
      </c>
      <c r="B6" s="7"/>
      <c r="C6" s="37">
        <v>8</v>
      </c>
      <c r="D6" s="7"/>
      <c r="E6" s="10">
        <f>'ASSUMPTIONS_DATA'!D34</f>
        <v>1000000</v>
      </c>
      <c r="F6" s="10">
        <f>'ASSUMPTIONS_DATA'!E34</f>
        <v>500000</v>
      </c>
      <c r="G6" s="10">
        <f>'ASSUMPTIONS_DATA'!F34</f>
        <v>500000</v>
      </c>
      <c r="H6" s="10">
        <f>'ASSUMPTIONS_DATA'!G34</f>
        <v>500000</v>
      </c>
      <c r="I6" s="10">
        <f>'ASSUMPTIONS_DATA'!H34</f>
        <v>500000</v>
      </c>
      <c r="J6" s="10">
        <f>'ASSUMPTIONS_DATA'!I34</f>
        <v>0</v>
      </c>
      <c r="K6" s="10">
        <f>'ASSUMPTIONS_DATA'!J34</f>
        <v>0</v>
      </c>
      <c r="L6" s="10">
        <f>'ASSUMPTIONS_DATA'!K34</f>
        <v>0</v>
      </c>
      <c r="M6" s="10">
        <f>'ASSUMPTIONS_DATA'!L34</f>
        <v>0</v>
      </c>
      <c r="N6" s="10">
        <f>'ASSUMPTIONS_DATA'!M34</f>
        <v>0</v>
      </c>
      <c r="O6" s="10">
        <f>'ASSUMPTIONS_DATA'!N34</f>
        <v>0</v>
      </c>
      <c r="P6" s="10">
        <f>'ASSUMPTIONS_DATA'!N33</f>
        <v>0</v>
      </c>
    </row>
    <row r="7" ht="32.05" customHeight="1">
      <c r="A7" t="s" s="7">
        <v>24</v>
      </c>
      <c r="B7" t="s" s="7">
        <v>127</v>
      </c>
      <c r="C7" s="37">
        <v>10</v>
      </c>
      <c r="D7" s="7"/>
      <c r="E7" s="10">
        <f>'ASSUMPTIONS_DATA'!D35</f>
        <v>2000000</v>
      </c>
      <c r="F7" s="10">
        <f>'ASSUMPTIONS_DATA'!E35</f>
        <v>0</v>
      </c>
      <c r="G7" s="10">
        <f>'ASSUMPTIONS_DATA'!F35</f>
        <v>0</v>
      </c>
      <c r="H7" s="10">
        <f>'ASSUMPTIONS_DATA'!G35</f>
        <v>0</v>
      </c>
      <c r="I7" s="10">
        <f>'ASSUMPTIONS_DATA'!H35</f>
        <v>0</v>
      </c>
      <c r="J7" s="10">
        <f>'ASSUMPTIONS_DATA'!I35</f>
        <v>0</v>
      </c>
      <c r="K7" s="10">
        <f>'ASSUMPTIONS_DATA'!J35</f>
        <v>0</v>
      </c>
      <c r="L7" s="10">
        <f>'ASSUMPTIONS_DATA'!K35</f>
        <v>0</v>
      </c>
      <c r="M7" s="10">
        <f>'ASSUMPTIONS_DATA'!L35</f>
        <v>0</v>
      </c>
      <c r="N7" s="10">
        <f>'ASSUMPTIONS_DATA'!M35</f>
        <v>0</v>
      </c>
      <c r="O7" s="10">
        <f>'ASSUMPTIONS_DATA'!N35</f>
        <v>0</v>
      </c>
      <c r="P7" s="10">
        <f>'ASSUMPTIONS_DATA'!N34</f>
        <v>0</v>
      </c>
    </row>
    <row r="8" ht="20.05" customHeight="1">
      <c r="A8" t="s" s="5">
        <v>128</v>
      </c>
      <c r="B8" s="3"/>
      <c r="C8" s="3"/>
      <c r="D8" t="s" s="5">
        <v>18</v>
      </c>
      <c r="E8" s="11">
        <f>SUM(E3:E7)</f>
        <v>23000000</v>
      </c>
      <c r="F8" s="11">
        <f>SUM(F3:F7)</f>
        <v>30700000</v>
      </c>
      <c r="G8" s="11">
        <f>SUM(G3:G7)</f>
        <v>38100000</v>
      </c>
      <c r="H8" s="11">
        <f>SUM(H3:H7)</f>
        <v>51100000</v>
      </c>
      <c r="I8" s="11">
        <f>SUM(I3:I7)</f>
        <v>61300000</v>
      </c>
      <c r="J8" s="11">
        <f>SUM(J3:J7)</f>
        <v>68200000</v>
      </c>
      <c r="K8" s="11">
        <f>SUM(K3:K7)</f>
        <v>17300000</v>
      </c>
      <c r="L8" s="11">
        <f>SUM(L3:L7)</f>
        <v>2800000</v>
      </c>
      <c r="M8" s="11">
        <f>SUM(M3:M7)</f>
        <v>0</v>
      </c>
      <c r="N8" s="11">
        <f>SUM(N3:N7)</f>
        <v>0</v>
      </c>
      <c r="O8" s="11">
        <f>SUM(O3:O7)</f>
        <v>0</v>
      </c>
      <c r="P8" s="11">
        <f>SUM(P3:P7)</f>
        <v>0</v>
      </c>
    </row>
    <row r="9" ht="20.05" customHeight="1">
      <c r="A9" s="3"/>
      <c r="B9" s="3"/>
      <c r="C9" s="3"/>
      <c r="D9" s="3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ht="32.05" customHeight="1">
      <c r="A10" t="s" s="5">
        <v>129</v>
      </c>
      <c r="B10" s="3"/>
      <c r="C10" s="3"/>
      <c r="D10" t="s" s="5">
        <v>18</v>
      </c>
      <c r="E10" s="11">
        <v>0</v>
      </c>
      <c r="F10" s="11">
        <f>F45</f>
        <v>2038333.33333333</v>
      </c>
      <c r="G10" s="11">
        <f>G45</f>
        <v>4080833.33333333</v>
      </c>
      <c r="H10" s="11">
        <f>H45</f>
        <v>6693333.33333333</v>
      </c>
      <c r="I10" s="11">
        <f>I45</f>
        <v>10435833.3333333</v>
      </c>
      <c r="J10" s="11">
        <f>J45</f>
        <v>15028333.3333333</v>
      </c>
      <c r="K10" s="11">
        <f>K45</f>
        <v>19278333.3333333</v>
      </c>
      <c r="L10" s="11">
        <f>L45</f>
        <v>24378333.3333333</v>
      </c>
      <c r="M10" s="11">
        <f>M45</f>
        <v>24933333.3333333</v>
      </c>
      <c r="N10" s="11">
        <f>N45</f>
        <v>24808333.3333333</v>
      </c>
      <c r="O10" s="11">
        <f>O45</f>
        <v>25025833.3333333</v>
      </c>
      <c r="P10" s="11">
        <f>P45</f>
        <v>24545833.3333333</v>
      </c>
    </row>
    <row r="11" ht="32.05" customHeight="1">
      <c r="A11" t="s" s="5">
        <v>130</v>
      </c>
      <c r="B11" s="3"/>
      <c r="C11" s="3"/>
      <c r="D11" t="s" s="5">
        <v>18</v>
      </c>
      <c r="E11" s="11">
        <f>E8-E10</f>
        <v>23000000</v>
      </c>
      <c r="F11" s="11">
        <f>F8-F10</f>
        <v>28661666.6666667</v>
      </c>
      <c r="G11" s="11">
        <f>G8-G10</f>
        <v>34019166.6666667</v>
      </c>
      <c r="H11" s="11">
        <f>H8-H10</f>
        <v>44406666.6666667</v>
      </c>
      <c r="I11" s="11">
        <f>I8-I10</f>
        <v>50864166.6666667</v>
      </c>
      <c r="J11" s="11">
        <f>J8-J10</f>
        <v>53171666.6666667</v>
      </c>
      <c r="K11" s="11">
        <f>K8-K10</f>
        <v>-1978333.3333333</v>
      </c>
      <c r="L11" s="11">
        <f>L8-L10</f>
        <v>-21578333.3333333</v>
      </c>
      <c r="M11" s="11">
        <f>M8-M10</f>
        <v>-24933333.3333333</v>
      </c>
      <c r="N11" s="11">
        <f>N8-N10</f>
        <v>-24808333.3333333</v>
      </c>
      <c r="O11" s="11">
        <f>O8-O10</f>
        <v>-25025833.3333333</v>
      </c>
      <c r="P11" s="11">
        <f>P8-P10</f>
        <v>-24545833.3333333</v>
      </c>
    </row>
    <row r="12" ht="20.05" customHeight="1">
      <c r="A12" s="6"/>
      <c r="B12" s="6"/>
      <c r="C12" s="6"/>
      <c r="D12" s="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0.05" customHeight="1">
      <c r="A13" s="6"/>
      <c r="B13" s="6"/>
      <c r="C13" s="6"/>
      <c r="D13" s="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0.05" customHeight="1">
      <c r="A14" t="s" s="5">
        <v>131</v>
      </c>
      <c r="B14" s="3"/>
      <c r="C14" s="3"/>
      <c r="D14" s="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32.05" customHeight="1">
      <c r="A15" t="s" s="5">
        <v>1</v>
      </c>
      <c r="B15" t="s" s="5">
        <v>132</v>
      </c>
      <c r="C15" t="s" s="5">
        <v>124</v>
      </c>
      <c r="D15" t="s" s="5">
        <v>2</v>
      </c>
      <c r="E15" t="s" s="5">
        <v>3</v>
      </c>
      <c r="F15" t="s" s="5">
        <v>4</v>
      </c>
      <c r="G15" t="s" s="5">
        <v>5</v>
      </c>
      <c r="H15" t="s" s="5">
        <v>6</v>
      </c>
      <c r="I15" t="s" s="5">
        <v>7</v>
      </c>
      <c r="J15" t="s" s="5">
        <v>8</v>
      </c>
      <c r="K15" t="s" s="5">
        <v>9</v>
      </c>
      <c r="L15" t="s" s="5">
        <v>10</v>
      </c>
      <c r="M15" t="s" s="5">
        <v>11</v>
      </c>
      <c r="N15" t="s" s="5">
        <v>12</v>
      </c>
      <c r="O15" t="s" s="5">
        <v>13</v>
      </c>
      <c r="P15" s="5"/>
    </row>
    <row r="16" ht="20.05" customHeight="1">
      <c r="A16" t="s" s="5">
        <v>21</v>
      </c>
      <c r="B16" t="s" s="5">
        <f>E15</f>
        <v>133</v>
      </c>
      <c r="C16" s="38">
        <f>C3</f>
        <v>12</v>
      </c>
      <c r="D16" t="s" s="5">
        <v>18</v>
      </c>
      <c r="E16" s="11"/>
      <c r="F16" s="11">
        <f>$E$3/$C$3</f>
        <v>583333.333333333</v>
      </c>
      <c r="G16" s="11">
        <f>$E$3/$C$3</f>
        <v>583333.333333333</v>
      </c>
      <c r="H16" s="11">
        <f>$E$3/$C$3</f>
        <v>583333.333333333</v>
      </c>
      <c r="I16" s="11">
        <f>$E$3/$C$3</f>
        <v>583333.333333333</v>
      </c>
      <c r="J16" s="11">
        <f>$E$3/$C$3</f>
        <v>583333.333333333</v>
      </c>
      <c r="K16" s="11">
        <f>$E$3/$C$3</f>
        <v>583333.333333333</v>
      </c>
      <c r="L16" s="11">
        <f>$E$3/$C$3</f>
        <v>583333.333333333</v>
      </c>
      <c r="M16" s="11"/>
      <c r="N16" s="11"/>
      <c r="O16" s="11"/>
      <c r="P16" s="11"/>
    </row>
    <row r="17" ht="32.05" customHeight="1">
      <c r="A17" t="s" s="5">
        <v>22</v>
      </c>
      <c r="B17" t="s" s="7">
        <f>E15</f>
        <v>133</v>
      </c>
      <c r="C17" s="37">
        <f>$C$4</f>
        <v>12</v>
      </c>
      <c r="D17" t="s" s="7">
        <v>18</v>
      </c>
      <c r="E17" s="10"/>
      <c r="F17" s="10">
        <f>$E$4/$C$4</f>
        <v>850000</v>
      </c>
      <c r="G17" s="10">
        <f>$E$4/$C$4</f>
        <v>850000</v>
      </c>
      <c r="H17" s="10">
        <f>$E$4/$C$4</f>
        <v>850000</v>
      </c>
      <c r="I17" s="10">
        <f>$E$4/$C$4</f>
        <v>850000</v>
      </c>
      <c r="J17" s="10">
        <f>$E$4/$C$4</f>
        <v>850000</v>
      </c>
      <c r="K17" s="10"/>
      <c r="L17" s="10"/>
      <c r="M17" s="10"/>
      <c r="N17" s="10"/>
      <c r="O17" s="10"/>
      <c r="P17" s="10"/>
    </row>
    <row r="18" ht="20.05" customHeight="1">
      <c r="A18" t="s" s="7">
        <v>134</v>
      </c>
      <c r="B18" t="s" s="7">
        <f>F15</f>
        <v>135</v>
      </c>
      <c r="C18" s="37">
        <f>$C$4</f>
        <v>12</v>
      </c>
      <c r="D18" t="s" s="7">
        <v>18</v>
      </c>
      <c r="E18" s="10"/>
      <c r="F18" s="10"/>
      <c r="G18" s="10">
        <f>$F$4/$C$18</f>
        <v>1700000</v>
      </c>
      <c r="H18" s="10">
        <f>$F$4/$C$18</f>
        <v>1700000</v>
      </c>
      <c r="I18" s="10">
        <f>$F$4/$C$18</f>
        <v>1700000</v>
      </c>
      <c r="J18" s="10">
        <f>$F$4/$C$18</f>
        <v>1700000</v>
      </c>
      <c r="K18" s="10">
        <f>$F$4/$C$18</f>
        <v>1700000</v>
      </c>
      <c r="L18" s="10">
        <f>$F$4/$C$18</f>
        <v>1700000</v>
      </c>
      <c r="M18" s="10">
        <f>$F$4/$C$18</f>
        <v>1700000</v>
      </c>
      <c r="N18" s="10">
        <f>$F$4/$C$18</f>
        <v>1700000</v>
      </c>
      <c r="O18" s="10">
        <f>$F$4/$C$18</f>
        <v>1700000</v>
      </c>
      <c r="P18" s="10">
        <f>$F$4/$C$18</f>
        <v>1700000</v>
      </c>
    </row>
    <row r="19" ht="20.05" customHeight="1">
      <c r="A19" t="s" s="7">
        <v>136</v>
      </c>
      <c r="B19" t="s" s="7">
        <f>G15</f>
        <v>137</v>
      </c>
      <c r="C19" s="37">
        <f>$C$4</f>
        <v>12</v>
      </c>
      <c r="D19" t="s" s="7">
        <v>18</v>
      </c>
      <c r="E19" s="10"/>
      <c r="F19" s="10"/>
      <c r="G19" s="10"/>
      <c r="H19" s="10">
        <f>$G$4/$C$18</f>
        <v>2550000</v>
      </c>
      <c r="I19" s="10">
        <f>$G$4/$C$18</f>
        <v>2550000</v>
      </c>
      <c r="J19" s="10">
        <f>$G$4/$C$18</f>
        <v>2550000</v>
      </c>
      <c r="K19" s="10">
        <f>$G$4/$C$18</f>
        <v>2550000</v>
      </c>
      <c r="L19" s="10">
        <f>$G$4/$C$18</f>
        <v>2550000</v>
      </c>
      <c r="M19" s="10">
        <f>$G$4/$C$18</f>
        <v>2550000</v>
      </c>
      <c r="N19" s="10">
        <f>$G$4/$C$18</f>
        <v>2550000</v>
      </c>
      <c r="O19" s="10">
        <f>$G$4/$C$18</f>
        <v>2550000</v>
      </c>
      <c r="P19" s="10">
        <f>$G$4/$C$18</f>
        <v>2550000</v>
      </c>
    </row>
    <row r="20" ht="20.05" customHeight="1">
      <c r="A20" t="s" s="7">
        <v>138</v>
      </c>
      <c r="B20" t="s" s="7">
        <f>H15</f>
        <v>139</v>
      </c>
      <c r="C20" s="37">
        <f>$C$4</f>
        <v>12</v>
      </c>
      <c r="D20" t="s" s="7">
        <v>18</v>
      </c>
      <c r="E20" s="10"/>
      <c r="F20" s="10"/>
      <c r="G20" s="10"/>
      <c r="H20" s="10"/>
      <c r="I20" s="10">
        <f>$H$4/$C$18</f>
        <v>3400000</v>
      </c>
      <c r="J20" s="10">
        <f>$H$4/$C$18</f>
        <v>3400000</v>
      </c>
      <c r="K20" s="10">
        <f>$H$4/$C$18</f>
        <v>3400000</v>
      </c>
      <c r="L20" s="10">
        <f>$H$4/$C$18</f>
        <v>3400000</v>
      </c>
      <c r="M20" s="10">
        <f>$H$4/$C$18</f>
        <v>3400000</v>
      </c>
      <c r="N20" s="10">
        <f>$H$4/$C$18</f>
        <v>3400000</v>
      </c>
      <c r="O20" s="10">
        <f>$H$4/$C$18</f>
        <v>3400000</v>
      </c>
      <c r="P20" s="10">
        <f>$H$4/$C$18</f>
        <v>3400000</v>
      </c>
    </row>
    <row r="21" ht="20.05" customHeight="1">
      <c r="A21" t="s" s="7">
        <v>140</v>
      </c>
      <c r="B21" t="s" s="7">
        <f>I15</f>
        <v>141</v>
      </c>
      <c r="C21" s="37">
        <f>$C$4</f>
        <v>12</v>
      </c>
      <c r="D21" t="s" s="7">
        <v>18</v>
      </c>
      <c r="E21" s="10"/>
      <c r="F21" s="10"/>
      <c r="G21" s="10"/>
      <c r="H21" s="10"/>
      <c r="I21" s="10"/>
      <c r="J21" s="10">
        <f>$I$4/$C$18</f>
        <v>4250000</v>
      </c>
      <c r="K21" s="10">
        <f>$I$4/$C$18</f>
        <v>4250000</v>
      </c>
      <c r="L21" s="10">
        <f>$I$4/$C$18</f>
        <v>4250000</v>
      </c>
      <c r="M21" s="10">
        <f>$I$4/$C$18</f>
        <v>4250000</v>
      </c>
      <c r="N21" s="10">
        <f>$I$4/$C$18</f>
        <v>4250000</v>
      </c>
      <c r="O21" s="10">
        <f>$I$4/$C$18</f>
        <v>4250000</v>
      </c>
      <c r="P21" s="10">
        <f>$I$4/$C$18</f>
        <v>4250000</v>
      </c>
    </row>
    <row r="22" ht="20.05" customHeight="1">
      <c r="A22" t="s" s="7">
        <v>142</v>
      </c>
      <c r="B22" t="s" s="7">
        <f>J15</f>
        <v>143</v>
      </c>
      <c r="C22" s="37">
        <f>$C$4</f>
        <v>12</v>
      </c>
      <c r="D22" t="s" s="7">
        <v>18</v>
      </c>
      <c r="E22" s="10"/>
      <c r="F22" s="10"/>
      <c r="G22" s="10"/>
      <c r="H22" s="10"/>
      <c r="I22" s="10"/>
      <c r="J22" s="10"/>
      <c r="K22" s="10">
        <f>$J$4/$C$18</f>
        <v>5100000</v>
      </c>
      <c r="L22" s="10">
        <f>$J$4/$C$18</f>
        <v>5100000</v>
      </c>
      <c r="M22" s="10">
        <f>$J$4/$C$18</f>
        <v>5100000</v>
      </c>
      <c r="N22" s="10">
        <f>$J$4/$C$18</f>
        <v>5100000</v>
      </c>
      <c r="O22" s="10">
        <f>$J$4/$C$18</f>
        <v>5100000</v>
      </c>
      <c r="P22" s="10">
        <f>$J$4/$C$18</f>
        <v>5100000</v>
      </c>
    </row>
    <row r="23" ht="20.05" customHeight="1">
      <c r="A23" t="s" s="7">
        <v>144</v>
      </c>
      <c r="B23" t="s" s="7">
        <f>K15</f>
        <v>145</v>
      </c>
      <c r="C23" s="37">
        <f>$C$4</f>
        <v>12</v>
      </c>
      <c r="D23" t="s" s="7">
        <v>18</v>
      </c>
      <c r="E23" s="10"/>
      <c r="F23" s="10"/>
      <c r="G23" s="10"/>
      <c r="H23" s="10"/>
      <c r="I23" s="10"/>
      <c r="J23" s="10"/>
      <c r="K23" s="10"/>
      <c r="L23" s="10">
        <f>$J$4/$C$18</f>
        <v>5100000</v>
      </c>
      <c r="M23" s="10">
        <f>$J$4/$C$18</f>
        <v>5100000</v>
      </c>
      <c r="N23" s="10">
        <f>$J$4/$C$18</f>
        <v>5100000</v>
      </c>
      <c r="O23" s="10">
        <f>$J$4/$C$18</f>
        <v>5100000</v>
      </c>
      <c r="P23" s="10">
        <f>$J$4/$C$18</f>
        <v>5100000</v>
      </c>
    </row>
    <row r="24" ht="20.05" customHeight="1">
      <c r="A24" t="s" s="7">
        <v>146</v>
      </c>
      <c r="B24" t="s" s="7">
        <f>L15</f>
        <v>147</v>
      </c>
      <c r="C24" s="37">
        <f>$C$4</f>
        <v>12</v>
      </c>
      <c r="D24" t="s" s="7">
        <v>18</v>
      </c>
      <c r="E24" s="10"/>
      <c r="F24" s="10"/>
      <c r="G24" s="10"/>
      <c r="H24" s="10"/>
      <c r="I24" s="10"/>
      <c r="J24" s="10"/>
      <c r="K24" s="10"/>
      <c r="L24" s="10"/>
      <c r="M24" s="10">
        <f>$K$4/$C$18</f>
        <v>858333.333333333</v>
      </c>
      <c r="N24" s="10">
        <f>$K$4/$C$18</f>
        <v>858333.333333333</v>
      </c>
      <c r="O24" s="10">
        <f>$K$4/$C$18</f>
        <v>858333.333333333</v>
      </c>
      <c r="P24" s="10">
        <f>$K$4/$C$18</f>
        <v>858333.333333333</v>
      </c>
    </row>
    <row r="25" ht="19.9" customHeight="1">
      <c r="A25" t="s" s="5">
        <v>148</v>
      </c>
      <c r="B25" s="5"/>
      <c r="C25" s="3"/>
      <c r="D25" s="5"/>
      <c r="E25" s="11"/>
      <c r="F25" s="11">
        <f>SUM(F17:F24)</f>
        <v>850000</v>
      </c>
      <c r="G25" s="11">
        <f>SUM(G17:G24)</f>
        <v>2550000</v>
      </c>
      <c r="H25" s="11">
        <f>SUM(H17:H24)</f>
        <v>5100000</v>
      </c>
      <c r="I25" s="11">
        <f>SUM(I17:I24)</f>
        <v>8500000</v>
      </c>
      <c r="J25" s="11">
        <f>SUM(J17:J24)</f>
        <v>12750000</v>
      </c>
      <c r="K25" s="11">
        <f>SUM(K17:K24)</f>
        <v>17000000</v>
      </c>
      <c r="L25" s="11">
        <f>SUM(L17:L24)</f>
        <v>22100000</v>
      </c>
      <c r="M25" s="11">
        <f>SUM(M17:M24)</f>
        <v>22958333.3333333</v>
      </c>
      <c r="N25" s="11">
        <f>SUM(N17:N24)</f>
        <v>22958333.3333333</v>
      </c>
      <c r="O25" s="11">
        <f>SUM(O17:O24)</f>
        <v>22958333.3333333</v>
      </c>
      <c r="P25" s="11">
        <f>SUM(P17:P24)</f>
        <v>22958333.3333333</v>
      </c>
    </row>
    <row r="26" ht="19.9" customHeight="1">
      <c r="A26" t="s" s="5">
        <v>37</v>
      </c>
      <c r="B26" t="s" s="5">
        <v>3</v>
      </c>
      <c r="C26" s="38">
        <f>$C$5</f>
        <v>10</v>
      </c>
      <c r="D26" t="s" s="5">
        <v>18</v>
      </c>
      <c r="E26" s="11"/>
      <c r="F26" s="11">
        <f>$E$5/$C$5</f>
        <v>280000</v>
      </c>
      <c r="G26" s="11">
        <f>$E$5/$C$5</f>
        <v>280000</v>
      </c>
      <c r="H26" s="11">
        <f>$E$5/$C$5</f>
        <v>280000</v>
      </c>
      <c r="I26" s="11">
        <f>$E$5/$C$5</f>
        <v>280000</v>
      </c>
      <c r="J26" s="11">
        <f>$E$5/$C$5</f>
        <v>280000</v>
      </c>
      <c r="K26" s="11">
        <f>$E$5/$C$5</f>
        <v>280000</v>
      </c>
      <c r="L26" s="11">
        <f>$E$5/$C$5</f>
        <v>280000</v>
      </c>
      <c r="M26" s="11">
        <f>$E$5/$C$5</f>
        <v>280000</v>
      </c>
      <c r="N26" s="11">
        <f>$E$5/$C$5</f>
        <v>280000</v>
      </c>
      <c r="O26" s="11">
        <f>$E$5/$C$5</f>
        <v>280000</v>
      </c>
      <c r="P26" s="11">
        <f>$E$5/$C$5</f>
        <v>280000</v>
      </c>
    </row>
    <row r="27" ht="20.05" customHeight="1">
      <c r="A27" t="s" s="7">
        <v>134</v>
      </c>
      <c r="B27" t="s" s="5">
        <v>4</v>
      </c>
      <c r="C27" s="37">
        <f>$C$5</f>
        <v>10</v>
      </c>
      <c r="D27" t="s" s="7">
        <v>18</v>
      </c>
      <c r="E27" s="10"/>
      <c r="F27" s="10"/>
      <c r="G27" s="10">
        <f>$F$5/$C$27</f>
        <v>280000</v>
      </c>
      <c r="H27" s="10">
        <f>$F$5/$C$27</f>
        <v>280000</v>
      </c>
      <c r="I27" s="10">
        <f>$F$5/$C$27</f>
        <v>280000</v>
      </c>
      <c r="J27" s="10">
        <f>$F$5/$C$27</f>
        <v>280000</v>
      </c>
      <c r="K27" s="10">
        <f>$F$5/$C$27</f>
        <v>280000</v>
      </c>
      <c r="L27" s="10">
        <f>$F$5/$C$27</f>
        <v>280000</v>
      </c>
      <c r="M27" s="10">
        <f>$F$5/$C$27</f>
        <v>280000</v>
      </c>
      <c r="N27" s="10">
        <f>$F$5/$C$27</f>
        <v>280000</v>
      </c>
      <c r="O27" s="10">
        <f>$F$5/$C$27</f>
        <v>280000</v>
      </c>
      <c r="P27" s="10">
        <f>$F$5/$C$27</f>
        <v>280000</v>
      </c>
    </row>
    <row r="28" ht="20.05" customHeight="1">
      <c r="A28" t="s" s="7">
        <v>136</v>
      </c>
      <c r="B28" t="s" s="5">
        <v>5</v>
      </c>
      <c r="C28" s="37">
        <f>$C$5</f>
        <v>10</v>
      </c>
      <c r="D28" t="s" s="7">
        <v>18</v>
      </c>
      <c r="E28" s="10"/>
      <c r="F28" s="10"/>
      <c r="G28" s="10"/>
      <c r="H28" s="10">
        <f>$G$5/$C$27</f>
        <v>0</v>
      </c>
      <c r="I28" s="10">
        <f>$G$5/$C$27</f>
        <v>0</v>
      </c>
      <c r="J28" s="10">
        <f>$G$5/$C$27</f>
        <v>0</v>
      </c>
      <c r="K28" s="10">
        <f>$G$5/$C$27</f>
        <v>0</v>
      </c>
      <c r="L28" s="10">
        <f>$G$5/$C$27</f>
        <v>0</v>
      </c>
      <c r="M28" s="10">
        <f>$G$5/$C$27</f>
        <v>0</v>
      </c>
      <c r="N28" s="10">
        <f>$G$5/$C$27</f>
        <v>0</v>
      </c>
      <c r="O28" s="10">
        <f>$G$5/$C$27</f>
        <v>0</v>
      </c>
      <c r="P28" s="10">
        <f>$G$5/$C$27</f>
        <v>0</v>
      </c>
    </row>
    <row r="29" ht="20.05" customHeight="1">
      <c r="A29" t="s" s="7">
        <v>138</v>
      </c>
      <c r="B29" t="s" s="5">
        <v>6</v>
      </c>
      <c r="C29" s="37">
        <f>$C$5</f>
        <v>10</v>
      </c>
      <c r="D29" t="s" s="7">
        <v>18</v>
      </c>
      <c r="E29" s="10"/>
      <c r="F29" s="10"/>
      <c r="G29" s="10"/>
      <c r="H29" s="10"/>
      <c r="I29" s="10">
        <f>$H$5/$C$27</f>
        <v>280000</v>
      </c>
      <c r="J29" s="10">
        <f>$H$5/$C$27</f>
        <v>280000</v>
      </c>
      <c r="K29" s="10">
        <f>$H$5/$C$27</f>
        <v>280000</v>
      </c>
      <c r="L29" s="10">
        <f>$H$5/$C$27</f>
        <v>280000</v>
      </c>
      <c r="M29" s="10">
        <f>$H$5/$C$27</f>
        <v>280000</v>
      </c>
      <c r="N29" s="10">
        <f>$H$5/$C$27</f>
        <v>280000</v>
      </c>
      <c r="O29" s="10">
        <f>$H$5/$C$27</f>
        <v>280000</v>
      </c>
      <c r="P29" s="10">
        <f>$H$5/$C$27</f>
        <v>280000</v>
      </c>
    </row>
    <row r="30" ht="20.05" customHeight="1">
      <c r="A30" t="s" s="7">
        <v>140</v>
      </c>
      <c r="B30" t="s" s="5">
        <v>7</v>
      </c>
      <c r="C30" s="37">
        <f>$C$5</f>
        <v>10</v>
      </c>
      <c r="D30" t="s" s="7">
        <v>18</v>
      </c>
      <c r="E30" s="10"/>
      <c r="F30" s="10"/>
      <c r="G30" s="10"/>
      <c r="H30" s="10"/>
      <c r="I30" s="10"/>
      <c r="J30" s="10">
        <f>$I$5/$C$27</f>
        <v>280000</v>
      </c>
      <c r="K30" s="10">
        <f>$I$5/$C$27</f>
        <v>280000</v>
      </c>
      <c r="L30" s="10">
        <f>$I$5/$C$27</f>
        <v>280000</v>
      </c>
      <c r="M30" s="10">
        <f>$I$5/$C$27</f>
        <v>280000</v>
      </c>
      <c r="N30" s="10">
        <f>$I$5/$C$27</f>
        <v>280000</v>
      </c>
      <c r="O30" s="10">
        <f>$I$5/$C$27</f>
        <v>280000</v>
      </c>
      <c r="P30" s="10">
        <f>$I$5/$C$27</f>
        <v>280000</v>
      </c>
    </row>
    <row r="31" ht="20.05" customHeight="1">
      <c r="A31" t="s" s="7">
        <v>142</v>
      </c>
      <c r="B31" t="s" s="5">
        <v>8</v>
      </c>
      <c r="C31" s="37">
        <f>$C$5</f>
        <v>10</v>
      </c>
      <c r="D31" t="s" s="7">
        <v>18</v>
      </c>
      <c r="E31" s="10"/>
      <c r="F31" s="10"/>
      <c r="G31" s="10"/>
      <c r="H31" s="10"/>
      <c r="I31" s="10"/>
      <c r="J31" s="10"/>
      <c r="K31" s="10">
        <f>$J$5/$C$27</f>
        <v>0</v>
      </c>
      <c r="L31" s="10">
        <f>$J$5/$C$27</f>
        <v>0</v>
      </c>
      <c r="M31" s="10">
        <f>$J$5/$C$27</f>
        <v>0</v>
      </c>
      <c r="N31" s="10">
        <f>$J$5/$C$27</f>
        <v>0</v>
      </c>
      <c r="O31" s="10">
        <f>$J$5/$C$27</f>
        <v>0</v>
      </c>
      <c r="P31" s="10">
        <f>$J$5/$C$27</f>
        <v>0</v>
      </c>
    </row>
    <row r="32" ht="20.05" customHeight="1">
      <c r="A32" t="s" s="7">
        <v>144</v>
      </c>
      <c r="B32" t="s" s="5">
        <v>9</v>
      </c>
      <c r="C32" s="37">
        <f>$C$5</f>
        <v>10</v>
      </c>
      <c r="D32" t="s" s="7">
        <v>18</v>
      </c>
      <c r="E32" s="10"/>
      <c r="F32" s="10"/>
      <c r="G32" s="10"/>
      <c r="H32" s="10"/>
      <c r="I32" s="10"/>
      <c r="J32" s="10"/>
      <c r="K32" s="10"/>
      <c r="L32" s="10">
        <f>$K$5/$C$27</f>
        <v>0</v>
      </c>
      <c r="M32" s="10">
        <f>$K$5/$C$27</f>
        <v>0</v>
      </c>
      <c r="N32" s="10">
        <f>$K$5/$C$27</f>
        <v>0</v>
      </c>
      <c r="O32" s="10">
        <f>$K$5/$C$27</f>
        <v>0</v>
      </c>
      <c r="P32" s="10">
        <f>$K$5/$C$27</f>
        <v>0</v>
      </c>
    </row>
    <row r="33" ht="20.05" customHeight="1">
      <c r="A33" t="s" s="7">
        <v>146</v>
      </c>
      <c r="B33" t="s" s="5">
        <v>10</v>
      </c>
      <c r="C33" s="37">
        <f>$C$5</f>
        <v>10</v>
      </c>
      <c r="D33" t="s" s="7">
        <v>18</v>
      </c>
      <c r="E33" s="10"/>
      <c r="F33" s="10"/>
      <c r="G33" s="10"/>
      <c r="H33" s="10"/>
      <c r="I33" s="10"/>
      <c r="J33" s="10"/>
      <c r="K33" s="10"/>
      <c r="L33" s="10"/>
      <c r="M33" s="10">
        <f>$L$5/$C$27</f>
        <v>280000</v>
      </c>
      <c r="N33" s="10">
        <f>$L$5/$C$27</f>
        <v>280000</v>
      </c>
      <c r="O33" s="10">
        <f>$L$5/$C$27</f>
        <v>280000</v>
      </c>
      <c r="P33" s="10">
        <f>$L$5/$C$27</f>
        <v>280000</v>
      </c>
    </row>
    <row r="34" ht="20.05" customHeight="1">
      <c r="A34" t="s" s="7">
        <v>149</v>
      </c>
      <c r="B34" t="s" s="5">
        <v>11</v>
      </c>
      <c r="C34" s="37">
        <f>$C$5</f>
        <v>10</v>
      </c>
      <c r="D34" t="s" s="7">
        <v>18</v>
      </c>
      <c r="E34" s="10"/>
      <c r="F34" s="10"/>
      <c r="G34" s="10"/>
      <c r="H34" s="10"/>
      <c r="I34" s="10"/>
      <c r="J34" s="10"/>
      <c r="K34" s="10"/>
      <c r="L34" s="10"/>
      <c r="M34" s="10"/>
      <c r="N34" s="10">
        <f>$M$5/$C$27</f>
        <v>0</v>
      </c>
      <c r="O34" s="10">
        <f>$M$5/$C$27</f>
        <v>0</v>
      </c>
      <c r="P34" s="10">
        <f>$M$5/$C$27</f>
        <v>0</v>
      </c>
    </row>
    <row r="35" ht="20.05" customHeight="1">
      <c r="A35" t="s" s="7">
        <v>150</v>
      </c>
      <c r="B35" t="s" s="5">
        <v>12</v>
      </c>
      <c r="C35" s="37">
        <f>$C$5</f>
        <v>10</v>
      </c>
      <c r="D35" t="s" s="7">
        <v>18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>
        <f>$F$5/$C$27</f>
        <v>280000</v>
      </c>
      <c r="P35" s="10"/>
    </row>
    <row r="36" ht="20.05" customHeight="1">
      <c r="A36" t="s" s="7">
        <v>151</v>
      </c>
      <c r="B36" t="s" s="5">
        <v>13</v>
      </c>
      <c r="C36" s="37">
        <f>$C$5</f>
        <v>10</v>
      </c>
      <c r="D36" t="s" s="7">
        <v>18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ht="20.05" customHeight="1">
      <c r="A37" t="s" s="5">
        <v>148</v>
      </c>
      <c r="B37" s="5"/>
      <c r="C37" s="3"/>
      <c r="D37" s="5"/>
      <c r="E37" s="11"/>
      <c r="F37" s="11">
        <f>SUM(F26:F36)</f>
        <v>280000</v>
      </c>
      <c r="G37" s="11">
        <f>SUM(G26:G36)</f>
        <v>560000</v>
      </c>
      <c r="H37" s="11">
        <f>SUM(H26:H36)</f>
        <v>560000</v>
      </c>
      <c r="I37" s="11">
        <f>SUM(I26:I36)</f>
        <v>840000</v>
      </c>
      <c r="J37" s="11">
        <f>SUM(J26:J36)</f>
        <v>1120000</v>
      </c>
      <c r="K37" s="11">
        <f>SUM(K26:K36)</f>
        <v>1120000</v>
      </c>
      <c r="L37" s="11">
        <f>SUM(L26:L36)</f>
        <v>1120000</v>
      </c>
      <c r="M37" s="11">
        <f>SUM(M26:M36)</f>
        <v>1400000</v>
      </c>
      <c r="N37" s="11">
        <f>SUM(N26:N36)</f>
        <v>1400000</v>
      </c>
      <c r="O37" s="11">
        <f>SUM(O26:O36)</f>
        <v>1680000</v>
      </c>
      <c r="P37" s="11">
        <f>SUM(P26:P36)</f>
        <v>1400000</v>
      </c>
    </row>
    <row r="38" ht="32.05" customHeight="1">
      <c r="A38" t="s" s="5">
        <v>23</v>
      </c>
      <c r="B38" t="s" s="5">
        <f>E15</f>
        <v>133</v>
      </c>
      <c r="C38" s="37">
        <v>8</v>
      </c>
      <c r="D38" t="s" s="7">
        <v>18</v>
      </c>
      <c r="E38" s="10"/>
      <c r="F38" s="10">
        <f>$E$6/$C$38</f>
        <v>125000</v>
      </c>
      <c r="G38" s="10">
        <f>$E$6/$C$38</f>
        <v>125000</v>
      </c>
      <c r="H38" s="10">
        <f>$E$6/$C$38</f>
        <v>125000</v>
      </c>
      <c r="I38" s="10">
        <f>$E$6/$C$38</f>
        <v>125000</v>
      </c>
      <c r="J38" s="10">
        <f>$E$6/$C$38</f>
        <v>125000</v>
      </c>
      <c r="K38" s="10">
        <f>$E$6/$C$38</f>
        <v>125000</v>
      </c>
      <c r="L38" s="10">
        <f>$E$6/$C$38</f>
        <v>125000</v>
      </c>
      <c r="M38" s="10">
        <f>$E$6/$C$38</f>
        <v>125000</v>
      </c>
      <c r="N38" s="10"/>
      <c r="O38" s="10"/>
      <c r="P38" s="10"/>
    </row>
    <row r="39" ht="32.05" customHeight="1">
      <c r="A39" t="s" s="7">
        <v>134</v>
      </c>
      <c r="B39" t="s" s="5">
        <v>4</v>
      </c>
      <c r="C39" s="37">
        <f>$C$6</f>
        <v>8</v>
      </c>
      <c r="D39" t="s" s="7">
        <v>18</v>
      </c>
      <c r="E39" s="10"/>
      <c r="F39" s="6"/>
      <c r="G39" s="10">
        <f>$F$6/$C$39</f>
        <v>62500</v>
      </c>
      <c r="H39" s="10">
        <f>$F$6/$C$39</f>
        <v>62500</v>
      </c>
      <c r="I39" s="10">
        <f>$F$6/$C$39</f>
        <v>62500</v>
      </c>
      <c r="J39" s="10">
        <f>$F$6/$C$39</f>
        <v>62500</v>
      </c>
      <c r="K39" s="10">
        <f>$F$6/$C$39</f>
        <v>62500</v>
      </c>
      <c r="L39" s="10">
        <f>$F$6/$C$39</f>
        <v>62500</v>
      </c>
      <c r="M39" s="10">
        <f>$F$6/$C$39</f>
        <v>62500</v>
      </c>
      <c r="N39" s="10">
        <f>$F$6/$C$39</f>
        <v>62500</v>
      </c>
      <c r="O39" s="10"/>
      <c r="P39" s="10"/>
    </row>
    <row r="40" ht="32.05" customHeight="1">
      <c r="A40" t="s" s="7">
        <v>136</v>
      </c>
      <c r="B40" t="s" s="5">
        <v>5</v>
      </c>
      <c r="C40" s="37">
        <f>$C$6</f>
        <v>8</v>
      </c>
      <c r="D40" t="s" s="7">
        <v>18</v>
      </c>
      <c r="E40" s="10"/>
      <c r="F40" s="10"/>
      <c r="G40" s="10"/>
      <c r="H40" s="10">
        <f>$G$6/$C$40</f>
        <v>62500</v>
      </c>
      <c r="I40" s="10">
        <f>$G$6/$C$40</f>
        <v>62500</v>
      </c>
      <c r="J40" s="10">
        <f>$G$6/$C$40</f>
        <v>62500</v>
      </c>
      <c r="K40" s="10">
        <f>$G$6/$C$40</f>
        <v>62500</v>
      </c>
      <c r="L40" s="10">
        <f>$G$6/$C$40</f>
        <v>62500</v>
      </c>
      <c r="M40" s="10">
        <f>$G$6/$C$40</f>
        <v>62500</v>
      </c>
      <c r="N40" s="10">
        <f>$G$6/$C$40</f>
        <v>62500</v>
      </c>
      <c r="O40" s="10">
        <f>$G$6/$C$40</f>
        <v>62500</v>
      </c>
      <c r="P40" s="10">
        <f>$G$6/$C$40</f>
        <v>62500</v>
      </c>
    </row>
    <row r="41" ht="32.05" customHeight="1">
      <c r="A41" t="s" s="7">
        <v>138</v>
      </c>
      <c r="B41" t="s" s="5">
        <v>6</v>
      </c>
      <c r="C41" s="37">
        <f>$C$6</f>
        <v>8</v>
      </c>
      <c r="D41" t="s" s="7">
        <v>18</v>
      </c>
      <c r="E41" s="10"/>
      <c r="F41" s="10"/>
      <c r="G41" s="10"/>
      <c r="H41" s="10"/>
      <c r="I41" s="10">
        <f>$H$6/$C$41</f>
        <v>62500</v>
      </c>
      <c r="J41" s="10">
        <f>$I$6/$C$41</f>
        <v>62500</v>
      </c>
      <c r="K41" s="10">
        <f>$I$6/$C$41</f>
        <v>62500</v>
      </c>
      <c r="L41" s="10">
        <f>$I$6/$C$41</f>
        <v>62500</v>
      </c>
      <c r="M41" s="10">
        <f>$I$6/$C$41</f>
        <v>62500</v>
      </c>
      <c r="N41" s="10">
        <f>$I$6/$C$41</f>
        <v>62500</v>
      </c>
      <c r="O41" s="10">
        <f>$I$6/$C$41</f>
        <v>62500</v>
      </c>
      <c r="P41" s="10">
        <f>$I$6/$C$41</f>
        <v>62500</v>
      </c>
    </row>
    <row r="42" ht="32.05" customHeight="1">
      <c r="A42" t="s" s="7">
        <v>140</v>
      </c>
      <c r="B42" t="s" s="5">
        <v>7</v>
      </c>
      <c r="C42" s="37">
        <f>$C$6</f>
        <v>8</v>
      </c>
      <c r="D42" t="s" s="7">
        <v>18</v>
      </c>
      <c r="E42" s="10"/>
      <c r="F42" s="10"/>
      <c r="G42" s="10"/>
      <c r="H42" s="10"/>
      <c r="I42" s="10"/>
      <c r="J42" s="10">
        <f>$I$6/$C$42</f>
        <v>62500</v>
      </c>
      <c r="K42" s="10">
        <f>$I$6/$C$42</f>
        <v>62500</v>
      </c>
      <c r="L42" s="10">
        <f>$I$6/$C$42</f>
        <v>62500</v>
      </c>
      <c r="M42" s="10">
        <f>$I$6/$C$42</f>
        <v>62500</v>
      </c>
      <c r="N42" s="10">
        <f>$I$6/$C$42</f>
        <v>62500</v>
      </c>
      <c r="O42" s="10">
        <f>$I$6/$C$42</f>
        <v>62500</v>
      </c>
      <c r="P42" s="10">
        <f>$I$6/$C$42</f>
        <v>62500</v>
      </c>
    </row>
    <row r="43" ht="32.05" customHeight="1">
      <c r="A43" t="s" s="5">
        <v>148</v>
      </c>
      <c r="B43" s="3"/>
      <c r="C43" s="3"/>
      <c r="D43" s="5"/>
      <c r="E43" s="11"/>
      <c r="F43" s="11">
        <f>SUM(F38:F42)</f>
        <v>125000</v>
      </c>
      <c r="G43" s="11">
        <f>SUM(G38:G42)</f>
        <v>187500</v>
      </c>
      <c r="H43" s="11">
        <f>SUM(H38:H42)</f>
        <v>250000</v>
      </c>
      <c r="I43" s="11">
        <f>SUM(I38:I42)</f>
        <v>312500</v>
      </c>
      <c r="J43" s="11">
        <f>SUM(J38:J42)</f>
        <v>375000</v>
      </c>
      <c r="K43" s="11">
        <f>SUM(K38:K42)</f>
        <v>375000</v>
      </c>
      <c r="L43" s="11">
        <f>SUM(L38:L42)</f>
        <v>375000</v>
      </c>
      <c r="M43" s="11">
        <f>SUM(M38:M42)</f>
        <v>375000</v>
      </c>
      <c r="N43" s="11">
        <f>SUM(N38:N42)</f>
        <v>250000</v>
      </c>
      <c r="O43" s="11">
        <f>SUM(O38:O42)</f>
        <v>187500</v>
      </c>
      <c r="P43" s="11">
        <f>SUM(P38:P42)</f>
        <v>187500</v>
      </c>
    </row>
    <row r="44" ht="32.05" customHeight="1">
      <c r="A44" t="s" s="5">
        <v>24</v>
      </c>
      <c r="B44" t="s" s="5">
        <v>3</v>
      </c>
      <c r="C44" s="38">
        <f>C7</f>
        <v>10</v>
      </c>
      <c r="D44" t="s" s="5">
        <v>18</v>
      </c>
      <c r="E44" s="11"/>
      <c r="F44" s="11">
        <f>$E$7/$C$44</f>
        <v>200000</v>
      </c>
      <c r="G44" s="11">
        <f>$E$7/$C$44</f>
        <v>200000</v>
      </c>
      <c r="H44" s="11">
        <f>$E$7/$C$44</f>
        <v>200000</v>
      </c>
      <c r="I44" s="11">
        <f>$E$7/$C$44</f>
        <v>200000</v>
      </c>
      <c r="J44" s="11">
        <f>$E$7/$C$44</f>
        <v>200000</v>
      </c>
      <c r="K44" s="11">
        <f>$E$7/$C$44</f>
        <v>200000</v>
      </c>
      <c r="L44" s="11">
        <f>$E$7/$C$44</f>
        <v>200000</v>
      </c>
      <c r="M44" s="11">
        <f>$E$7/$C$44</f>
        <v>200000</v>
      </c>
      <c r="N44" s="11">
        <f>$E$7/$C$44</f>
        <v>200000</v>
      </c>
      <c r="O44" s="11">
        <f>$E$7/$C$44</f>
        <v>200000</v>
      </c>
      <c r="P44" s="11">
        <v>0</v>
      </c>
    </row>
    <row r="45" ht="20.05" customHeight="1">
      <c r="A45" t="s" s="5">
        <v>152</v>
      </c>
      <c r="B45" s="3"/>
      <c r="C45" s="3"/>
      <c r="D45" s="3"/>
      <c r="E45" s="11"/>
      <c r="F45" s="11">
        <f>F44+F43+F37+F25+F16</f>
        <v>2038333.33333333</v>
      </c>
      <c r="G45" s="11">
        <f>G44+G43+G37+G25+G16</f>
        <v>4080833.33333333</v>
      </c>
      <c r="H45" s="11">
        <f>H44+H43+H37+H25+H16</f>
        <v>6693333.33333333</v>
      </c>
      <c r="I45" s="11">
        <f>I44+I43+I37+I25+I16</f>
        <v>10435833.3333333</v>
      </c>
      <c r="J45" s="11">
        <f>J44+J43+J37+J25+J16</f>
        <v>15028333.3333333</v>
      </c>
      <c r="K45" s="11">
        <f>K44+K43+K37+K25+K16</f>
        <v>19278333.3333333</v>
      </c>
      <c r="L45" s="11">
        <f>L44+L43+L37+L25+L16</f>
        <v>24378333.3333333</v>
      </c>
      <c r="M45" s="11">
        <f>M44+M43+M37+M25+M16</f>
        <v>24933333.3333333</v>
      </c>
      <c r="N45" s="11">
        <f>N44+N43+N37+N25+N16</f>
        <v>24808333.3333333</v>
      </c>
      <c r="O45" s="11">
        <f>O44+O43+O37+O25+O16</f>
        <v>25025833.3333333</v>
      </c>
      <c r="P45" s="11">
        <f>P44+P43+P37+P25+P16</f>
        <v>24545833.3333333</v>
      </c>
    </row>
    <row r="46" ht="20.05" customHeight="1">
      <c r="A46" s="6"/>
      <c r="B46" s="6"/>
      <c r="C46" s="6"/>
      <c r="D46" s="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ht="20.05" customHeight="1">
      <c r="A47" s="6"/>
      <c r="B47" s="6"/>
      <c r="C47" s="6"/>
      <c r="D47" s="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ht="20.05" customHeight="1">
      <c r="A48" t="s" s="5">
        <v>153</v>
      </c>
      <c r="B48" s="3"/>
      <c r="C48" s="3"/>
      <c r="D48" s="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ht="20.05" customHeight="1">
      <c r="A49" t="s" s="7">
        <v>21</v>
      </c>
      <c r="B49" s="6"/>
      <c r="C49" s="6"/>
      <c r="D49" s="6"/>
      <c r="E49" s="10"/>
      <c r="F49" s="10">
        <f>E3-F16</f>
        <v>6416666.66666667</v>
      </c>
      <c r="G49" s="10">
        <f>F49-G16</f>
        <v>5833333.33333334</v>
      </c>
      <c r="H49" s="10">
        <f>G49-H16</f>
        <v>5250000.00000001</v>
      </c>
      <c r="I49" s="10">
        <f>H49-I16</f>
        <v>4666666.66666668</v>
      </c>
      <c r="J49" s="10">
        <f>I49-J16</f>
        <v>4083333.33333335</v>
      </c>
      <c r="K49" s="10">
        <f>J49-K16</f>
        <v>3500000.00000002</v>
      </c>
      <c r="L49" s="10">
        <f>K49-L16</f>
        <v>2916666.66666669</v>
      </c>
      <c r="M49" s="10">
        <f>L49-M16</f>
        <v>2916666.66666669</v>
      </c>
      <c r="N49" s="10">
        <f>M49-N16</f>
        <v>2916666.66666669</v>
      </c>
      <c r="O49" s="10">
        <f>N49-O16</f>
        <v>2916666.66666669</v>
      </c>
      <c r="P49" s="10">
        <f>O49-P16</f>
        <v>2916666.66666669</v>
      </c>
    </row>
    <row r="50" ht="32.05" customHeight="1">
      <c r="A50" t="s" s="7">
        <v>22</v>
      </c>
      <c r="B50" s="6"/>
      <c r="C50" s="6"/>
      <c r="D50" s="6"/>
      <c r="E50" s="10"/>
      <c r="F50" s="10">
        <f>(E4-F25)</f>
        <v>9350000</v>
      </c>
      <c r="G50" s="10">
        <f>(F4-G25)+F50</f>
        <v>27200000</v>
      </c>
      <c r="H50" s="10">
        <f>(G4-H25)+G50</f>
        <v>52700000</v>
      </c>
      <c r="I50" s="10">
        <f>(H4-I25)+H50</f>
        <v>85000000</v>
      </c>
      <c r="J50" s="10">
        <f>(I4-J25)+I50</f>
        <v>123250000</v>
      </c>
      <c r="K50" s="10">
        <f>(J4-K25)+J50</f>
        <v>167450000</v>
      </c>
      <c r="L50" s="10">
        <f>(K4-L25)+K50</f>
        <v>155650000</v>
      </c>
      <c r="M50" s="10">
        <f>(L4-M25)+L50</f>
        <v>132691666.666667</v>
      </c>
      <c r="N50" s="10">
        <f>(M4-N25)+M50</f>
        <v>109733333.333334</v>
      </c>
      <c r="O50" s="10">
        <f>(N4-O25)+N50</f>
        <v>86775000.0000007</v>
      </c>
      <c r="P50" s="10">
        <f>(O4-P25)+O50</f>
        <v>63816666.6666674</v>
      </c>
    </row>
    <row r="51" ht="32.05" customHeight="1">
      <c r="A51" t="s" s="7">
        <v>154</v>
      </c>
      <c r="B51" s="6"/>
      <c r="C51" s="6"/>
      <c r="D51" s="6"/>
      <c r="E51" s="10"/>
      <c r="F51" s="10">
        <f>E5-F37</f>
        <v>2520000</v>
      </c>
      <c r="G51" s="10">
        <f>(F5-G37)+F51</f>
        <v>4760000</v>
      </c>
      <c r="H51" s="10">
        <f>(G5-H37)+G51</f>
        <v>4200000</v>
      </c>
      <c r="I51" s="10">
        <f>(H5-I37)+H51</f>
        <v>6160000</v>
      </c>
      <c r="J51" s="10">
        <f>(I5-J37)+I51</f>
        <v>7840000</v>
      </c>
      <c r="K51" s="10">
        <f>(J5-K37)+J51</f>
        <v>6720000</v>
      </c>
      <c r="L51" s="10">
        <f>(K5-L37)+K51</f>
        <v>5600000</v>
      </c>
      <c r="M51" s="10">
        <f>(L5-M37)+L51</f>
        <v>7000000</v>
      </c>
      <c r="N51" s="10">
        <f>(M5-N37)+M51</f>
        <v>5600000</v>
      </c>
      <c r="O51" s="10">
        <f>(N5-O37)+N51</f>
        <v>3920000</v>
      </c>
      <c r="P51" s="10">
        <f>(O5-P37)+O51</f>
        <v>2520000</v>
      </c>
    </row>
    <row r="52" ht="32.05" customHeight="1">
      <c r="A52" t="s" s="7">
        <v>23</v>
      </c>
      <c r="B52" s="6"/>
      <c r="C52" s="6"/>
      <c r="D52" s="6"/>
      <c r="E52" s="10"/>
      <c r="F52" s="10">
        <f>E6-F43</f>
        <v>875000</v>
      </c>
      <c r="G52" s="10">
        <f>(F6-G43)+F52</f>
        <v>1187500</v>
      </c>
      <c r="H52" s="10">
        <f>(G6-H43)+G52</f>
        <v>1437500</v>
      </c>
      <c r="I52" s="10">
        <f>(H6-I43)+H52</f>
        <v>1625000</v>
      </c>
      <c r="J52" s="10">
        <f>(I6-J43)+I52</f>
        <v>1750000</v>
      </c>
      <c r="K52" s="10">
        <f>(J6-K43)+J52</f>
        <v>1375000</v>
      </c>
      <c r="L52" s="10">
        <f>(K6-L43)+K52</f>
        <v>1000000</v>
      </c>
      <c r="M52" s="10">
        <f>(L6-M43)+L52</f>
        <v>625000</v>
      </c>
      <c r="N52" s="10">
        <f>(M6-N43)+M52</f>
        <v>375000</v>
      </c>
      <c r="O52" s="10">
        <f>(N6-O43)+N52</f>
        <v>187500</v>
      </c>
      <c r="P52" s="10">
        <f>(O6-P43)+O52</f>
        <v>0</v>
      </c>
    </row>
    <row r="53" ht="20.05" customHeight="1">
      <c r="A53" t="s" s="7">
        <v>24</v>
      </c>
      <c r="B53" s="6"/>
      <c r="C53" s="6"/>
      <c r="D53" s="6"/>
      <c r="E53" s="10"/>
      <c r="F53" s="10">
        <f>E7-F44</f>
        <v>1800000</v>
      </c>
      <c r="G53" s="10">
        <f>F53-G44</f>
        <v>1600000</v>
      </c>
      <c r="H53" s="10">
        <f>G53-H44</f>
        <v>1400000</v>
      </c>
      <c r="I53" s="10">
        <f>H53-I44</f>
        <v>1200000</v>
      </c>
      <c r="J53" s="10">
        <f>I53-J44</f>
        <v>1000000</v>
      </c>
      <c r="K53" s="10">
        <f>J53-K44</f>
        <v>800000</v>
      </c>
      <c r="L53" s="10">
        <f>K53-L44</f>
        <v>600000</v>
      </c>
      <c r="M53" s="10">
        <f>L53-M44</f>
        <v>400000</v>
      </c>
      <c r="N53" s="10">
        <f>M53-N44</f>
        <v>200000</v>
      </c>
      <c r="O53" s="10">
        <f>N53-O44</f>
        <v>0</v>
      </c>
      <c r="P53" s="10">
        <f>(O7-P44)+O53</f>
        <v>0</v>
      </c>
    </row>
    <row r="54" ht="20.05" customHeight="1">
      <c r="A54" s="6"/>
      <c r="B54" s="6"/>
      <c r="C54" s="6"/>
      <c r="D54" s="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ht="20.05" customHeight="1">
      <c r="A55" s="6"/>
      <c r="B55" s="6"/>
      <c r="C55" s="6"/>
      <c r="D55" s="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ht="20.05" customHeight="1">
      <c r="A56" s="6"/>
      <c r="B56" s="6"/>
      <c r="C56" s="6"/>
      <c r="D56" s="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ht="20.05" customHeight="1">
      <c r="A57" s="6"/>
      <c r="B57" s="6"/>
      <c r="C57" s="6"/>
      <c r="D57" s="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ht="20.05" customHeight="1">
      <c r="A58" s="6"/>
      <c r="B58" s="6"/>
      <c r="C58" s="6"/>
      <c r="D58" s="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ht="20.05" customHeight="1">
      <c r="A59" s="6"/>
      <c r="B59" s="6"/>
      <c r="C59" s="6"/>
      <c r="D59" s="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1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2188" style="39" customWidth="1"/>
    <col min="2" max="2" width="9.35156" style="39" customWidth="1"/>
    <col min="3" max="13" width="13.1719" style="39" customWidth="1"/>
    <col min="14" max="16384" width="16.3516" style="39" customWidth="1"/>
  </cols>
  <sheetData>
    <row r="1" ht="20.05" customHeight="1">
      <c r="A1" t="s" s="2">
        <v>0</v>
      </c>
      <c r="B1" s="3"/>
      <c r="C1" s="11"/>
      <c r="D1" s="6"/>
      <c r="E1" s="11"/>
      <c r="F1" s="10"/>
      <c r="G1" s="11"/>
      <c r="H1" s="10"/>
      <c r="I1" s="11"/>
      <c r="J1" s="10"/>
      <c r="K1" s="11"/>
      <c r="L1" s="10"/>
      <c r="M1" s="10"/>
    </row>
    <row r="2" ht="20.05" customHeight="1">
      <c r="A2" t="s" s="5">
        <v>1</v>
      </c>
      <c r="B2" t="s" s="5">
        <v>2</v>
      </c>
      <c r="C2" t="s" s="5">
        <v>4</v>
      </c>
      <c r="D2" t="s" s="5">
        <v>5</v>
      </c>
      <c r="E2" t="s" s="5">
        <v>6</v>
      </c>
      <c r="F2" t="s" s="5">
        <v>7</v>
      </c>
      <c r="G2" t="s" s="5">
        <v>8</v>
      </c>
      <c r="H2" t="s" s="5">
        <v>9</v>
      </c>
      <c r="I2" t="s" s="5">
        <v>10</v>
      </c>
      <c r="J2" t="s" s="5">
        <v>11</v>
      </c>
      <c r="K2" t="s" s="5">
        <v>12</v>
      </c>
      <c r="L2" t="s" s="5">
        <v>13</v>
      </c>
      <c r="M2" t="s" s="5">
        <v>14</v>
      </c>
    </row>
    <row r="3" ht="20.05" customHeight="1">
      <c r="A3" t="s" s="7">
        <v>155</v>
      </c>
      <c r="B3" t="s" s="7">
        <v>107</v>
      </c>
      <c r="C3" s="10">
        <f>'POWER CALCULATIONS'!D27</f>
        <v>114499636.363636</v>
      </c>
      <c r="D3" s="10">
        <f>'POWER CALCULATIONS'!E27</f>
        <v>228999272.727272</v>
      </c>
      <c r="E3" s="10">
        <f>'POWER CALCULATIONS'!F27</f>
        <v>343498909.090909</v>
      </c>
      <c r="F3" s="10">
        <f>'POWER CALCULATIONS'!G27</f>
        <v>457998545.454545</v>
      </c>
      <c r="G3" s="10">
        <f>'POWER CALCULATIONS'!H27</f>
        <v>572498181.818181</v>
      </c>
      <c r="H3" s="10">
        <f>'POWER CALCULATIONS'!I27</f>
        <v>686997818.1818171</v>
      </c>
      <c r="I3" s="10">
        <f>'POWER CALCULATIONS'!J27</f>
        <v>801818181.818181</v>
      </c>
      <c r="J3" s="10">
        <f>'POWER CALCULATIONS'!K27</f>
        <v>801818181.818181</v>
      </c>
      <c r="K3" s="10">
        <f>'POWER CALCULATIONS'!L27</f>
        <v>801818181.818181</v>
      </c>
      <c r="L3" s="10">
        <f>'POWER CALCULATIONS'!M27</f>
        <v>801818181.818181</v>
      </c>
      <c r="M3" s="10">
        <f>'POWER CALCULATIONS'!N27</f>
        <v>801818181.818181</v>
      </c>
    </row>
    <row r="4" ht="20.05" customHeight="1">
      <c r="A4" t="s" s="7">
        <v>156</v>
      </c>
      <c r="B4" t="s" s="7">
        <v>59</v>
      </c>
      <c r="C4" s="28">
        <f>'ASSUMPTIONS_DATA'!D5</f>
        <v>714</v>
      </c>
      <c r="D4" s="28">
        <f>'ASSUMPTIONS_DATA'!E5+C4</f>
        <v>1428</v>
      </c>
      <c r="E4" s="28">
        <f>'ASSUMPTIONS_DATA'!F5+D4</f>
        <v>2142</v>
      </c>
      <c r="F4" s="28">
        <f>'ASSUMPTIONS_DATA'!G5+E4</f>
        <v>2856</v>
      </c>
      <c r="G4" s="28">
        <f>'ASSUMPTIONS_DATA'!H5+F4</f>
        <v>3570</v>
      </c>
      <c r="H4" s="28">
        <f>'ASSUMPTIONS_DATA'!I5+G4</f>
        <v>4284</v>
      </c>
      <c r="I4" s="28">
        <f>'ASSUMPTIONS_DATA'!J5+H4</f>
        <v>5000</v>
      </c>
      <c r="J4" s="28">
        <f>'ASSUMPTIONS_DATA'!K5+I4</f>
        <v>5000</v>
      </c>
      <c r="K4" s="28">
        <f>'ASSUMPTIONS_DATA'!L5+J4</f>
        <v>5000</v>
      </c>
      <c r="L4" s="28">
        <f>'ASSUMPTIONS_DATA'!M5+K4</f>
        <v>5000</v>
      </c>
      <c r="M4" s="28">
        <f>'ASSUMPTIONS_DATA'!N5+L4</f>
        <v>5000</v>
      </c>
    </row>
    <row r="5" ht="20.05" customHeight="1">
      <c r="A5" t="s" s="7">
        <v>157</v>
      </c>
      <c r="B5" t="s" s="7">
        <v>18</v>
      </c>
      <c r="C5" s="10">
        <f>'POWER CALCULATIONS'!D29*3</f>
        <v>0.135483870967742</v>
      </c>
      <c r="D5" s="10">
        <f>C5*1.1</f>
        <v>0.149032258064516</v>
      </c>
      <c r="E5" s="10">
        <f>D5*1.1</f>
        <v>0.163935483870968</v>
      </c>
      <c r="F5" s="10">
        <f>E5*1.1</f>
        <v>0.180329032258065</v>
      </c>
      <c r="G5" s="10">
        <f>F5*1.1</f>
        <v>0.198361935483872</v>
      </c>
      <c r="H5" s="10">
        <f>G5*1.1</f>
        <v>0.218198129032259</v>
      </c>
      <c r="I5" s="10">
        <f>H5*1.1</f>
        <v>0.240017941935485</v>
      </c>
      <c r="J5" s="10">
        <f>I5*1.1</f>
        <v>0.264019736129034</v>
      </c>
      <c r="K5" s="10">
        <f>J5*1.1</f>
        <v>0.290421709741937</v>
      </c>
      <c r="L5" s="10">
        <f>K5*1.1</f>
        <v>0.319463880716131</v>
      </c>
      <c r="M5" s="10">
        <f>L5*1.1</f>
        <v>0.351410268787744</v>
      </c>
    </row>
    <row r="6" ht="20.05" customHeight="1">
      <c r="A6" t="s" s="7">
        <v>158</v>
      </c>
      <c r="B6" t="s" s="7">
        <v>18</v>
      </c>
      <c r="C6" s="10">
        <f>C3*C5</f>
        <v>15512853.9589442</v>
      </c>
      <c r="D6" s="10">
        <f>D3*D5</f>
        <v>34128278.7096773</v>
      </c>
      <c r="E6" s="10">
        <f>E3*E5</f>
        <v>56311659.8709678</v>
      </c>
      <c r="F6" s="10">
        <f>F3*F5</f>
        <v>82590434.4774195</v>
      </c>
      <c r="G6" s="10">
        <f>G3*G5</f>
        <v>113561847.406452</v>
      </c>
      <c r="H6" s="10">
        <f>H3*H5</f>
        <v>149901638.576517</v>
      </c>
      <c r="I6" s="10">
        <f>I3*I5</f>
        <v>192450749.806452</v>
      </c>
      <c r="J6" s="10">
        <f>J3*J5</f>
        <v>211695824.787098</v>
      </c>
      <c r="K6" s="10">
        <f>K3*K5</f>
        <v>232865407.265807</v>
      </c>
      <c r="L6" s="10">
        <f>L3*L5</f>
        <v>256151947.992388</v>
      </c>
      <c r="M6" s="10">
        <f>M3*M5</f>
        <v>281767142.791627</v>
      </c>
    </row>
    <row r="7" ht="20.05" customHeight="1">
      <c r="A7" t="s" s="7">
        <v>159</v>
      </c>
      <c r="B7" t="s" s="7">
        <v>18</v>
      </c>
      <c r="C7" s="10">
        <f>C4*400</f>
        <v>285600</v>
      </c>
      <c r="D7" s="10">
        <f>D4*400</f>
        <v>571200</v>
      </c>
      <c r="E7" s="10">
        <f>E4*400</f>
        <v>856800</v>
      </c>
      <c r="F7" s="10">
        <f>F4*400</f>
        <v>1142400</v>
      </c>
      <c r="G7" s="10">
        <f>G4*400</f>
        <v>1428000</v>
      </c>
      <c r="H7" s="10">
        <f>H4*400</f>
        <v>1713600</v>
      </c>
      <c r="I7" s="10">
        <f>I4*400</f>
        <v>2000000</v>
      </c>
      <c r="J7" s="10">
        <f>J4*400</f>
        <v>2000000</v>
      </c>
      <c r="K7" s="10">
        <f>K4*400</f>
        <v>2000000</v>
      </c>
      <c r="L7" s="10">
        <f>L4*400</f>
        <v>2000000</v>
      </c>
      <c r="M7" s="10">
        <f>M4*400</f>
        <v>2000000</v>
      </c>
    </row>
    <row r="8" ht="20.0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0.0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4.7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</row>
    <row r="11" ht="14.7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O24"/>
  <sheetViews>
    <sheetView workbookViewId="0" showGridLines="0" defaultGridColor="1"/>
  </sheetViews>
  <sheetFormatPr defaultColWidth="16.3333" defaultRowHeight="19.9" customHeight="1" outlineLevelRow="0" outlineLevelCol="0"/>
  <cols>
    <col min="1" max="1" width="39" style="40" customWidth="1"/>
    <col min="2" max="2" width="8.85156" style="40" customWidth="1"/>
    <col min="3" max="14" width="13.1719" style="40" customWidth="1"/>
    <col min="15" max="15" width="22.3516" style="40" customWidth="1"/>
    <col min="16" max="16384" width="16.3516" style="40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s="3"/>
    </row>
    <row r="3" ht="20.05" customHeight="1">
      <c r="A3" t="s" s="5">
        <v>160</v>
      </c>
      <c r="B3" t="s" s="5">
        <v>18</v>
      </c>
      <c r="C3" s="8">
        <v>0</v>
      </c>
      <c r="D3" s="8">
        <f>'REVENUE PROJECTION'!C6</f>
        <v>15512853.9589442</v>
      </c>
      <c r="E3" s="8">
        <f>'REVENUE PROJECTION'!D6</f>
        <v>34128278.7096773</v>
      </c>
      <c r="F3" s="8">
        <f>'REVENUE PROJECTION'!E6</f>
        <v>56311659.8709678</v>
      </c>
      <c r="G3" s="8">
        <f>'REVENUE PROJECTION'!F6</f>
        <v>82590434.4774195</v>
      </c>
      <c r="H3" s="8">
        <f>'REVENUE PROJECTION'!G6</f>
        <v>113561847.406452</v>
      </c>
      <c r="I3" s="8">
        <f>'REVENUE PROJECTION'!H6</f>
        <v>149901638.576517</v>
      </c>
      <c r="J3" s="8">
        <f>'REVENUE PROJECTION'!I6</f>
        <v>192450749.806452</v>
      </c>
      <c r="K3" s="8">
        <f>'REVENUE PROJECTION'!J6</f>
        <v>211695824.787098</v>
      </c>
      <c r="L3" s="8">
        <f>'REVENUE PROJECTION'!K6</f>
        <v>232865407.265807</v>
      </c>
      <c r="M3" s="8">
        <f>'REVENUE PROJECTION'!L6</f>
        <v>256151947.992388</v>
      </c>
      <c r="N3" s="8">
        <f>'REVENUE PROJECTION'!M6</f>
        <v>281767142.791627</v>
      </c>
      <c r="O3" s="8"/>
    </row>
    <row r="4" ht="20.1" customHeight="1">
      <c r="A4" t="s" s="7">
        <v>161</v>
      </c>
      <c r="B4" t="s" s="7">
        <v>18</v>
      </c>
      <c r="C4" s="4">
        <v>0</v>
      </c>
      <c r="D4" s="4">
        <f>'POWER CALCULATIONS'!D30</f>
        <v>5170951.31964807</v>
      </c>
      <c r="E4" s="4">
        <f>'POWER CALCULATIONS'!E30</f>
        <v>11376092.9032258</v>
      </c>
      <c r="F4" s="4">
        <f>'POWER CALCULATIONS'!F30</f>
        <v>18770553.2903226</v>
      </c>
      <c r="G4" s="4">
        <f>'POWER CALCULATIONS'!G30</f>
        <v>27530144.8258065</v>
      </c>
      <c r="H4" s="4">
        <f>'POWER CALCULATIONS'!H30</f>
        <v>37853949.1354839</v>
      </c>
      <c r="I4" s="4">
        <f>'POWER CALCULATIONS'!I30</f>
        <v>49967212.8588387</v>
      </c>
      <c r="J4" s="4">
        <f>'POWER CALCULATIONS'!J30</f>
        <v>64150249.9354838</v>
      </c>
      <c r="K4" s="4">
        <f>'POWER CALCULATIONS'!K30</f>
        <v>70565274.92903221</v>
      </c>
      <c r="L4" s="4">
        <f>'POWER CALCULATIONS'!L30</f>
        <v>77621802.42193539</v>
      </c>
      <c r="M4" s="4">
        <f>'POWER CALCULATIONS'!M30</f>
        <v>85383982.6641292</v>
      </c>
      <c r="N4" s="4">
        <f>'POWER CALCULATIONS'!N30</f>
        <v>93922380.9305421</v>
      </c>
      <c r="O4" s="4"/>
    </row>
    <row r="5" ht="20.05" customHeight="1">
      <c r="A5" t="s" s="5">
        <v>162</v>
      </c>
      <c r="B5" t="s" s="5">
        <v>18</v>
      </c>
      <c r="C5" s="8">
        <f>C3-C4</f>
        <v>0</v>
      </c>
      <c r="D5" s="8">
        <f>D3-D4</f>
        <v>10341902.6392961</v>
      </c>
      <c r="E5" s="8">
        <f>E3-E4</f>
        <v>22752185.8064515</v>
      </c>
      <c r="F5" s="8">
        <f>F3-F4</f>
        <v>37541106.5806452</v>
      </c>
      <c r="G5" s="8">
        <f>G3-G4</f>
        <v>55060289.651613</v>
      </c>
      <c r="H5" s="8">
        <f>H3-H4</f>
        <v>75707898.27096809</v>
      </c>
      <c r="I5" s="8">
        <f>I3-I4</f>
        <v>99934425.71767829</v>
      </c>
      <c r="J5" s="8">
        <f>J3-J4</f>
        <v>128300499.870968</v>
      </c>
      <c r="K5" s="8">
        <f>K3-K4</f>
        <v>141130549.858066</v>
      </c>
      <c r="L5" s="8">
        <f>L3-L4</f>
        <v>155243604.843872</v>
      </c>
      <c r="M5" s="8">
        <f>M3-M4</f>
        <v>170767965.328259</v>
      </c>
      <c r="N5" s="8">
        <f>N3-N4</f>
        <v>187844761.861085</v>
      </c>
      <c r="O5" s="8"/>
    </row>
    <row r="6" ht="20.1" customHeight="1">
      <c r="A6" t="s" s="7">
        <v>163</v>
      </c>
      <c r="B6" t="s" s="7">
        <v>18</v>
      </c>
      <c r="C6" s="4">
        <v>0</v>
      </c>
      <c r="D6" s="4">
        <f>'REVENUE PROJECTION'!C7</f>
        <v>285600</v>
      </c>
      <c r="E6" s="4">
        <f>'REVENUE PROJECTION'!D7</f>
        <v>571200</v>
      </c>
      <c r="F6" s="4">
        <f>'REVENUE PROJECTION'!E7</f>
        <v>856800</v>
      </c>
      <c r="G6" s="4">
        <f>'REVENUE PROJECTION'!F7</f>
        <v>1142400</v>
      </c>
      <c r="H6" s="4">
        <f>'REVENUE PROJECTION'!G7</f>
        <v>1428000</v>
      </c>
      <c r="I6" s="4">
        <f>'REVENUE PROJECTION'!H7</f>
        <v>1713600</v>
      </c>
      <c r="J6" s="4">
        <f>'REVENUE PROJECTION'!I7</f>
        <v>2000000</v>
      </c>
      <c r="K6" s="4">
        <f>'REVENUE PROJECTION'!J7</f>
        <v>2000000</v>
      </c>
      <c r="L6" s="4">
        <f>'REVENUE PROJECTION'!K7</f>
        <v>2000000</v>
      </c>
      <c r="M6" s="4">
        <f>'REVENUE PROJECTION'!L7</f>
        <v>2000000</v>
      </c>
      <c r="N6" s="4">
        <f>'REVENUE PROJECTION'!M7</f>
        <v>2000000</v>
      </c>
      <c r="O6" s="4"/>
    </row>
    <row r="7" ht="20.05" customHeight="1">
      <c r="A7" t="s" s="5">
        <v>164</v>
      </c>
      <c r="B7" t="s" s="5">
        <v>18</v>
      </c>
      <c r="C7" s="8">
        <f>C5+C6</f>
        <v>0</v>
      </c>
      <c r="D7" s="8">
        <f>D5+D6</f>
        <v>10627502.6392961</v>
      </c>
      <c r="E7" s="8">
        <f>E5+E6</f>
        <v>23323385.8064515</v>
      </c>
      <c r="F7" s="8">
        <f>F5+F6</f>
        <v>38397906.5806452</v>
      </c>
      <c r="G7" s="8">
        <f>G5+G6</f>
        <v>56202689.651613</v>
      </c>
      <c r="H7" s="8">
        <f>H5+H6</f>
        <v>77135898.27096809</v>
      </c>
      <c r="I7" s="8">
        <f>I5+I6</f>
        <v>101648025.717678</v>
      </c>
      <c r="J7" s="8">
        <f>J5+J6</f>
        <v>130300499.870968</v>
      </c>
      <c r="K7" s="8">
        <f>K5+K6</f>
        <v>143130549.858066</v>
      </c>
      <c r="L7" s="8">
        <f>L5+L6</f>
        <v>157243604.843872</v>
      </c>
      <c r="M7" s="8">
        <f>M5+M6</f>
        <v>172767965.328259</v>
      </c>
      <c r="N7" s="8">
        <f>N5+N6</f>
        <v>189844761.861085</v>
      </c>
      <c r="O7" s="8"/>
    </row>
    <row r="8" ht="20.05" customHeight="1">
      <c r="A8" s="6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20.1" customHeight="1">
      <c r="A9" t="s" s="7">
        <v>165</v>
      </c>
      <c r="B9" t="s" s="7">
        <v>18</v>
      </c>
      <c r="C9" s="4">
        <v>1000000</v>
      </c>
      <c r="D9" s="4">
        <v>3000000</v>
      </c>
      <c r="E9" s="4">
        <f>D9*1.2</f>
        <v>3600000</v>
      </c>
      <c r="F9" s="4">
        <f>E9*1.2</f>
        <v>4320000</v>
      </c>
      <c r="G9" s="4">
        <f>F9*1.2</f>
        <v>5184000</v>
      </c>
      <c r="H9" s="4">
        <f>G9*1.2</f>
        <v>6220800</v>
      </c>
      <c r="I9" s="4">
        <f>H9*1.2</f>
        <v>7464960</v>
      </c>
      <c r="J9" s="4">
        <f>I9*1.2</f>
        <v>8957952</v>
      </c>
      <c r="K9" s="4">
        <f>J9*1.2</f>
        <v>10749542.4</v>
      </c>
      <c r="L9" s="4">
        <f>K9*1.2</f>
        <v>12899450.88</v>
      </c>
      <c r="M9" s="4">
        <f>L9*1.2</f>
        <v>15479341.056</v>
      </c>
      <c r="N9" s="4">
        <f>M9*1.2</f>
        <v>18575209.2672</v>
      </c>
      <c r="O9" s="4"/>
    </row>
    <row r="10" ht="20.1" customHeight="1">
      <c r="A10" t="s" s="7">
        <v>166</v>
      </c>
      <c r="B10" t="s" s="7">
        <v>18</v>
      </c>
      <c r="C10" s="4">
        <f>C3*C9</f>
        <v>0</v>
      </c>
      <c r="D10" s="4">
        <f>D3*0.06</f>
        <v>930771.237536652</v>
      </c>
      <c r="E10" s="4">
        <f>E3*0.06</f>
        <v>2047696.72258064</v>
      </c>
      <c r="F10" s="4">
        <f>F3*0.06</f>
        <v>3378699.59225807</v>
      </c>
      <c r="G10" s="4">
        <f>G3*0.06</f>
        <v>4955426.06864517</v>
      </c>
      <c r="H10" s="4">
        <f>H3*0.06</f>
        <v>6813710.84438712</v>
      </c>
      <c r="I10" s="4">
        <f>I3*0.06</f>
        <v>8994098.31459102</v>
      </c>
      <c r="J10" s="4">
        <f>J3*0.06</f>
        <v>11547044.9883871</v>
      </c>
      <c r="K10" s="4">
        <f>K3*0.06</f>
        <v>12701749.4872259</v>
      </c>
      <c r="L10" s="4">
        <f>L3*0.06</f>
        <v>13971924.4359484</v>
      </c>
      <c r="M10" s="4">
        <f>M3*0.06</f>
        <v>15369116.8795433</v>
      </c>
      <c r="N10" s="4">
        <f>M10*1.2</f>
        <v>18442940.255452</v>
      </c>
      <c r="O10" s="4"/>
    </row>
    <row r="11" ht="20.05" customHeight="1">
      <c r="A11" t="s" s="7">
        <v>167</v>
      </c>
      <c r="B11" t="s" s="7">
        <v>18</v>
      </c>
      <c r="C11" s="4">
        <f>C3*0.4</f>
        <v>0</v>
      </c>
      <c r="D11" s="4">
        <f>D3*0.35</f>
        <v>5429498.88563047</v>
      </c>
      <c r="E11" s="4">
        <f>E3*0.35</f>
        <v>11944897.5483871</v>
      </c>
      <c r="F11" s="4">
        <f>F3*0.35</f>
        <v>19709080.9548387</v>
      </c>
      <c r="G11" s="4">
        <f>G3*0.35</f>
        <v>28906652.0670968</v>
      </c>
      <c r="H11" s="4">
        <f>H3*0.35</f>
        <v>39746646.5922582</v>
      </c>
      <c r="I11" s="4">
        <f>I3*0.35</f>
        <v>52465573.501781</v>
      </c>
      <c r="J11" s="4">
        <f>J3*0.35</f>
        <v>67357762.4322582</v>
      </c>
      <c r="K11" s="4">
        <f>K3*0.35</f>
        <v>74093538.6754843</v>
      </c>
      <c r="L11" s="4">
        <f>L3*0.35</f>
        <v>81502892.5430325</v>
      </c>
      <c r="M11" s="4">
        <f>M3*0.35</f>
        <v>89653181.7973358</v>
      </c>
      <c r="N11" s="4">
        <f>N3*0.35</f>
        <v>98618499.9770695</v>
      </c>
      <c r="O11" s="4"/>
    </row>
    <row r="12" ht="20.05" customHeight="1">
      <c r="A12" t="s" s="5">
        <v>42</v>
      </c>
      <c r="B12" t="s" s="5">
        <v>18</v>
      </c>
      <c r="C12" s="8">
        <f>C7-C9-C10-C11</f>
        <v>-1000000</v>
      </c>
      <c r="D12" s="8">
        <f>D7-D9-D10-D11</f>
        <v>1267232.51612898</v>
      </c>
      <c r="E12" s="8">
        <f>E7-E9-E10-E11</f>
        <v>5730791.53548376</v>
      </c>
      <c r="F12" s="8">
        <f>F7-F9-F10-F11</f>
        <v>10990126.0335484</v>
      </c>
      <c r="G12" s="8">
        <f>G7-G9-G10-G11</f>
        <v>17156611.515871</v>
      </c>
      <c r="H12" s="8">
        <f>H7-H9-H10-H11</f>
        <v>24354740.8343228</v>
      </c>
      <c r="I12" s="8">
        <f>I7-I9-I10-I11</f>
        <v>32723393.901306</v>
      </c>
      <c r="J12" s="8">
        <f>J7-J9-J10-J11</f>
        <v>42437740.4503227</v>
      </c>
      <c r="K12" s="8">
        <f>K7-K9-K10-K11</f>
        <v>45585719.2953558</v>
      </c>
      <c r="L12" s="8">
        <f>L7-L9-L10-L11</f>
        <v>48869336.9848911</v>
      </c>
      <c r="M12" s="8">
        <f>M7-M9-M10-M11</f>
        <v>52266325.5953799</v>
      </c>
      <c r="N12" s="8">
        <f>N7-N9-N10-N11</f>
        <v>54208112.3613635</v>
      </c>
      <c r="O12" s="8"/>
    </row>
    <row r="13" ht="20.35" customHeight="1">
      <c r="A13" t="s" s="7">
        <v>168</v>
      </c>
      <c r="B13" t="s" s="7">
        <v>18</v>
      </c>
      <c r="C13" s="41">
        <f>'CAPEX &amp; DEPRECIATION'!E10</f>
        <v>0</v>
      </c>
      <c r="D13" s="41">
        <f>'CAPEX &amp; DEPRECIATION'!F10</f>
        <v>2038333.33333333</v>
      </c>
      <c r="E13" s="41">
        <f>'CAPEX &amp; DEPRECIATION'!G10</f>
        <v>4080833.33333333</v>
      </c>
      <c r="F13" s="41">
        <f>'CAPEX &amp; DEPRECIATION'!H10</f>
        <v>6693333.33333333</v>
      </c>
      <c r="G13" s="41">
        <f>'CAPEX &amp; DEPRECIATION'!I10</f>
        <v>10435833.3333333</v>
      </c>
      <c r="H13" s="41">
        <f>'CAPEX &amp; DEPRECIATION'!J10</f>
        <v>15028333.3333333</v>
      </c>
      <c r="I13" s="41">
        <f>'CAPEX &amp; DEPRECIATION'!K10</f>
        <v>19278333.3333333</v>
      </c>
      <c r="J13" s="41">
        <f>'CAPEX &amp; DEPRECIATION'!L10</f>
        <v>24378333.3333333</v>
      </c>
      <c r="K13" s="41">
        <f>'CAPEX &amp; DEPRECIATION'!M10</f>
        <v>24933333.3333333</v>
      </c>
      <c r="L13" s="41">
        <f>'CAPEX &amp; DEPRECIATION'!N10</f>
        <v>24808333.3333333</v>
      </c>
      <c r="M13" s="41">
        <f>'CAPEX &amp; DEPRECIATION'!O10</f>
        <v>25025833.3333333</v>
      </c>
      <c r="N13" s="41">
        <f>'CAPEX &amp; DEPRECIATION'!P10</f>
        <v>24545833.3333333</v>
      </c>
      <c r="O13" s="41"/>
    </row>
    <row r="14" ht="20.7" customHeight="1">
      <c r="A14" t="s" s="5">
        <v>169</v>
      </c>
      <c r="B14" t="s" s="42">
        <v>18</v>
      </c>
      <c r="C14" s="43">
        <f>C12-C13</f>
        <v>-1000000</v>
      </c>
      <c r="D14" s="44">
        <f>D12-D13</f>
        <v>-771100.81720435</v>
      </c>
      <c r="E14" s="45">
        <f>E12-E13</f>
        <v>1649958.20215043</v>
      </c>
      <c r="F14" s="45">
        <f>F12-F13</f>
        <v>4296792.70021507</v>
      </c>
      <c r="G14" s="45">
        <f>G12-G13</f>
        <v>6720778.1825377</v>
      </c>
      <c r="H14" s="45">
        <f>H12-H13</f>
        <v>9326407.5009895</v>
      </c>
      <c r="I14" s="45">
        <f>I12-I13</f>
        <v>13445060.5679727</v>
      </c>
      <c r="J14" s="45">
        <f>J12-J13</f>
        <v>18059407.1169894</v>
      </c>
      <c r="K14" s="45">
        <f>K12-K13</f>
        <v>20652385.9620225</v>
      </c>
      <c r="L14" s="45">
        <f>L12-L13</f>
        <v>24061003.6515578</v>
      </c>
      <c r="M14" s="46">
        <f>M12-M13</f>
        <v>27240492.2620466</v>
      </c>
      <c r="N14" s="43">
        <f>N12-N13</f>
        <v>29662279.0280302</v>
      </c>
      <c r="O14" s="43"/>
    </row>
    <row r="15" ht="20.35" customHeight="1">
      <c r="A15" t="s" s="7">
        <v>170</v>
      </c>
      <c r="B15" t="s" s="7">
        <v>18</v>
      </c>
      <c r="C15" s="47">
        <v>0</v>
      </c>
      <c r="D15" s="47">
        <v>0</v>
      </c>
      <c r="E15" s="47">
        <f>E14*0.3</f>
        <v>494987.460645129</v>
      </c>
      <c r="F15" s="47">
        <f>F14*0.3</f>
        <v>1289037.81006452</v>
      </c>
      <c r="G15" s="47">
        <f>G14*0.3</f>
        <v>2016233.45476131</v>
      </c>
      <c r="H15" s="47">
        <f>H14*0.3</f>
        <v>2797922.25029685</v>
      </c>
      <c r="I15" s="47">
        <f>I14*0.3</f>
        <v>4033518.17039181</v>
      </c>
      <c r="J15" s="47">
        <f>J14*0.3</f>
        <v>5417822.13509682</v>
      </c>
      <c r="K15" s="47">
        <f>K14*0.3</f>
        <v>6195715.78860675</v>
      </c>
      <c r="L15" s="47">
        <f>L14*0.3</f>
        <v>7218301.09546734</v>
      </c>
      <c r="M15" s="47">
        <f>M14*0.3</f>
        <v>8172147.67861398</v>
      </c>
      <c r="N15" s="47">
        <f>M15*1.2</f>
        <v>9806577.214336781</v>
      </c>
      <c r="O15" s="47"/>
    </row>
    <row r="16" ht="20.05" customHeight="1">
      <c r="A16" s="6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20.05" customHeight="1">
      <c r="A17" t="s" s="5">
        <v>171</v>
      </c>
      <c r="B17" t="s" s="5">
        <v>18</v>
      </c>
      <c r="C17" s="8">
        <f>C14-C15</f>
        <v>-1000000</v>
      </c>
      <c r="D17" s="8">
        <f>D14-D15</f>
        <v>-771100.81720435</v>
      </c>
      <c r="E17" s="8">
        <f>E14-E15</f>
        <v>1154970.7415053</v>
      </c>
      <c r="F17" s="8">
        <f>F14-F15</f>
        <v>3007754.89015055</v>
      </c>
      <c r="G17" s="8">
        <f>G14-G15</f>
        <v>4704544.72777639</v>
      </c>
      <c r="H17" s="8">
        <f>H14-H15</f>
        <v>6528485.25069265</v>
      </c>
      <c r="I17" s="8">
        <f>I14-I15</f>
        <v>9411542.39758089</v>
      </c>
      <c r="J17" s="8">
        <f>J14-J15</f>
        <v>12641584.9818926</v>
      </c>
      <c r="K17" s="8">
        <f>K14-K15</f>
        <v>14456670.1734158</v>
      </c>
      <c r="L17" s="8">
        <f>L14-L15</f>
        <v>16842702.5560905</v>
      </c>
      <c r="M17" s="8">
        <f>M14-M15</f>
        <v>19068344.5834326</v>
      </c>
      <c r="N17" s="8">
        <f>N14-N15</f>
        <v>19855701.8136934</v>
      </c>
      <c r="O17" s="8"/>
    </row>
    <row r="18" ht="20.05" customHeight="1">
      <c r="A18" s="6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20.05" customHeight="1">
      <c r="A19" s="6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20.05" customHeight="1">
      <c r="A20" t="s" s="7">
        <v>172</v>
      </c>
      <c r="B20" t="s" s="7">
        <v>18</v>
      </c>
      <c r="C20" s="4"/>
      <c r="D20" s="4">
        <f>D17</f>
        <v>-771100.81720435</v>
      </c>
      <c r="E20" s="4">
        <f>D20+E17</f>
        <v>383869.92430095</v>
      </c>
      <c r="F20" s="4">
        <f>E20+F17</f>
        <v>3391624.8144515</v>
      </c>
      <c r="G20" s="4">
        <f>F20+G17</f>
        <v>8096169.54222789</v>
      </c>
      <c r="H20" s="4">
        <f>G20+H17</f>
        <v>14624654.7929205</v>
      </c>
      <c r="I20" s="4">
        <f>H20+I17</f>
        <v>24036197.1905014</v>
      </c>
      <c r="J20" s="4">
        <f>I20+J17</f>
        <v>36677782.172394</v>
      </c>
      <c r="K20" s="4">
        <f>J20+K17</f>
        <v>51134452.3458098</v>
      </c>
      <c r="L20" s="4">
        <f>K20+L17</f>
        <v>67977154.90190031</v>
      </c>
      <c r="M20" s="4">
        <f>L20+M17</f>
        <v>87045499.48533291</v>
      </c>
      <c r="N20" s="4">
        <f>M20+N17</f>
        <v>106901201.299026</v>
      </c>
      <c r="O20" s="4"/>
    </row>
    <row r="21" ht="32.05" customHeight="1">
      <c r="A21" t="s" s="7">
        <v>173</v>
      </c>
      <c r="B21" t="s" s="7">
        <v>50</v>
      </c>
      <c r="C21" s="16">
        <f>C17/'SOURCE_USE OF FUNDS'!C6</f>
        <v>-0.0303030303030303</v>
      </c>
      <c r="D21" s="16">
        <f>D17/'SOURCE_USE OF FUNDS'!D6</f>
        <v>-0.0112241749229163</v>
      </c>
      <c r="E21" s="16">
        <f>E17/'SOURCE_USE OF FUNDS'!E6</f>
        <v>0.0108143327856301</v>
      </c>
      <c r="F21" s="16">
        <f>F17/'SOURCE_USE OF FUNDS'!F6</f>
        <v>0.019048479354975</v>
      </c>
      <c r="G21" s="16">
        <f>G17/'SOURCE_USE OF FUNDS'!G6</f>
        <v>0.0214623390865711</v>
      </c>
      <c r="H21" s="16">
        <f>H17/'SOURCE_USE OF FUNDS'!H6</f>
        <v>0.0227156758896752</v>
      </c>
      <c r="I21" s="16">
        <f>I17/'SOURCE_USE OF FUNDS'!I6</f>
        <v>0.0308878975962615</v>
      </c>
      <c r="J21" s="16">
        <f>J17/'SOURCE_USE OF FUNDS'!J6</f>
        <v>0.0411108454695694</v>
      </c>
      <c r="K21" s="16">
        <f>K17/'SOURCE_USE OF FUNDS'!K6</f>
        <v>0.0470135615395636</v>
      </c>
      <c r="L21" s="16">
        <f>L17/'SOURCE_USE OF FUNDS'!L6</f>
        <v>0.0547730164425707</v>
      </c>
      <c r="M21" s="16">
        <f>M17/'SOURCE_USE OF FUNDS'!M6</f>
        <v>0.0620108766940898</v>
      </c>
      <c r="N21" s="16">
        <f>N17/'SOURCE_USE OF FUNDS'!N6</f>
        <v>0.06457138801201109</v>
      </c>
      <c r="O21" t="s" s="7">
        <v>174</v>
      </c>
    </row>
    <row r="22" ht="20.05" customHeight="1">
      <c r="A22" t="s" s="7">
        <v>175</v>
      </c>
      <c r="B22" t="s" s="7">
        <v>18</v>
      </c>
      <c r="C22" s="4">
        <f>('SOURCE_USE OF FUNDS'!C6*-1)+C17</f>
        <v>-34000000</v>
      </c>
      <c r="D22" s="4">
        <f>D17*0.25</f>
        <v>-192775.204301088</v>
      </c>
      <c r="E22" s="4">
        <f>E17*0.25</f>
        <v>288742.685376325</v>
      </c>
      <c r="F22" s="4">
        <f>F17*0.25</f>
        <v>751938.722537638</v>
      </c>
      <c r="G22" s="4">
        <f>G17*0.25</f>
        <v>1176136.1819441</v>
      </c>
      <c r="H22" s="4">
        <f>H17*0.25</f>
        <v>1632121.31267316</v>
      </c>
      <c r="I22" s="4">
        <f>I17*0.25</f>
        <v>2352885.59939522</v>
      </c>
      <c r="J22" s="4">
        <f>J17*0.25</f>
        <v>3160396.24547315</v>
      </c>
      <c r="K22" s="4">
        <f>K17*0.25</f>
        <v>3614167.54335395</v>
      </c>
      <c r="L22" s="4">
        <f>L17*0.25</f>
        <v>4210675.63902263</v>
      </c>
      <c r="M22" s="4">
        <f>M17*0.25</f>
        <v>4767086.14585815</v>
      </c>
      <c r="N22" s="4">
        <f>N17*0.25</f>
        <v>4963925.45342335</v>
      </c>
      <c r="O22" s="4">
        <f>'VALUATION SUMMARY'!H8</f>
        <v>162624337.084091</v>
      </c>
    </row>
    <row r="23" ht="20.05" customHeight="1">
      <c r="A23" t="s" s="7">
        <v>176</v>
      </c>
      <c r="B23" t="s" s="7">
        <v>50</v>
      </c>
      <c r="C23" s="16">
        <f>(C17*0.25)/'SOURCE_USE OF FUNDS'!C6</f>
        <v>-0.00757575757575758</v>
      </c>
      <c r="D23" s="16">
        <f>(D17*0.25)/'SOURCE_USE OF FUNDS'!D6</f>
        <v>-0.00280604373072908</v>
      </c>
      <c r="E23" s="16">
        <f>(E17*0.25)/'SOURCE_USE OF FUNDS'!E6</f>
        <v>0.00270358319640754</v>
      </c>
      <c r="F23" s="16">
        <f>(F17*0.25)/'SOURCE_USE OF FUNDS'!F6</f>
        <v>0.00476211983874375</v>
      </c>
      <c r="G23" s="16">
        <f>(G17*0.25)/'SOURCE_USE OF FUNDS'!G6</f>
        <v>0.00536558477164278</v>
      </c>
      <c r="H23" s="16">
        <f>(H17*0.25)/'SOURCE_USE OF FUNDS'!H6</f>
        <v>0.0056789189724188</v>
      </c>
      <c r="I23" s="16">
        <f>(I17*0.25)/'SOURCE_USE OF FUNDS'!I6</f>
        <v>0.00772197439906538</v>
      </c>
      <c r="J23" s="16">
        <f>(J17*0.25)/'SOURCE_USE OF FUNDS'!J6</f>
        <v>0.0102777113673924</v>
      </c>
      <c r="K23" s="16">
        <f>(K17*0.25)/'SOURCE_USE OF FUNDS'!K6</f>
        <v>0.0117533903848909</v>
      </c>
      <c r="L23" s="16">
        <f>(L17*0.25)/'SOURCE_USE OF FUNDS'!L6</f>
        <v>0.0136932541106427</v>
      </c>
      <c r="M23" s="16">
        <f>(M17*0.25)/'SOURCE_USE OF FUNDS'!M6</f>
        <v>0.0155027191735224</v>
      </c>
      <c r="N23" s="16">
        <f>(N17*0.25)/'SOURCE_USE OF FUNDS'!N6</f>
        <v>0.0161428470030028</v>
      </c>
      <c r="O23" s="16"/>
    </row>
    <row r="24" ht="20.05" customHeight="1">
      <c r="A24" t="s" s="7">
        <v>49</v>
      </c>
      <c r="B24" t="s" s="7">
        <v>50</v>
      </c>
      <c r="C24" s="16">
        <f>IRR(C22:O22,0.18)</f>
        <v>0.16517773956309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</sheetData>
  <conditionalFormatting sqref="C1:O1 C3:O20 C21:N24 O22:O24">
    <cfRule type="cellIs" dxfId="3" priority="1" operator="lessThan" stopIfTrue="1">
      <formula>0</formula>
    </cfRule>
  </conditionalFormatting>
  <pageMargins left="1" right="1" top="1" bottom="1" header="0.25" footer="0.25"/>
  <pageSetup firstPageNumber="1" fitToHeight="1" fitToWidth="1" scale="69" useFirstPageNumber="0" orientation="landscape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23"/>
  <sheetViews>
    <sheetView workbookViewId="0" showGridLines="0" defaultGridColor="1"/>
  </sheetViews>
  <sheetFormatPr defaultColWidth="16.3333" defaultRowHeight="19.9" customHeight="1" outlineLevelRow="0" outlineLevelCol="0"/>
  <cols>
    <col min="1" max="1" width="29" style="48" customWidth="1"/>
    <col min="2" max="2" width="8.85156" style="48" customWidth="1"/>
    <col min="3" max="14" width="13.1719" style="48" customWidth="1"/>
    <col min="15" max="16384" width="16.3516" style="48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</row>
    <row r="3" ht="20.05" customHeight="1">
      <c r="A3" t="s" s="5">
        <v>177</v>
      </c>
      <c r="B3" s="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20.05" customHeight="1">
      <c r="A4" t="s" s="7">
        <v>178</v>
      </c>
      <c r="B4" t="s" s="7">
        <v>18</v>
      </c>
      <c r="C4" s="4">
        <f>'INCOME STATEMENT '!C17</f>
        <v>-1000000</v>
      </c>
      <c r="D4" s="4">
        <f>'INCOME STATEMENT '!D17</f>
        <v>-771100.81720435</v>
      </c>
      <c r="E4" s="4">
        <f>'INCOME STATEMENT '!E17</f>
        <v>1154970.7415053</v>
      </c>
      <c r="F4" s="4">
        <f>'INCOME STATEMENT '!F17</f>
        <v>3007754.89015055</v>
      </c>
      <c r="G4" s="4">
        <f>'INCOME STATEMENT '!G17</f>
        <v>4704544.72777639</v>
      </c>
      <c r="H4" s="4">
        <f>'INCOME STATEMENT '!H17</f>
        <v>6528485.25069265</v>
      </c>
      <c r="I4" s="4">
        <f>'INCOME STATEMENT '!I17</f>
        <v>9411542.39758089</v>
      </c>
      <c r="J4" s="4">
        <f>'INCOME STATEMENT '!J17</f>
        <v>12641584.9818926</v>
      </c>
      <c r="K4" s="4">
        <f>'INCOME STATEMENT '!K17</f>
        <v>14456670.1734158</v>
      </c>
      <c r="L4" s="4">
        <f>'INCOME STATEMENT '!L17</f>
        <v>16842702.5560905</v>
      </c>
      <c r="M4" s="4">
        <f>'INCOME STATEMENT '!M17</f>
        <v>19068344.5834326</v>
      </c>
      <c r="N4" s="4">
        <f>'INCOME STATEMENT '!N17</f>
        <v>19855701.8136934</v>
      </c>
    </row>
    <row r="5" ht="20.1" customHeight="1">
      <c r="A5" t="s" s="7">
        <v>179</v>
      </c>
      <c r="B5" t="s" s="7">
        <v>18</v>
      </c>
      <c r="C5" s="4">
        <f>'CAPEX &amp; DEPRECIATION'!E10</f>
        <v>0</v>
      </c>
      <c r="D5" s="4">
        <f>'CAPEX &amp; DEPRECIATION'!F10</f>
        <v>2038333.33333333</v>
      </c>
      <c r="E5" s="4">
        <f>'CAPEX &amp; DEPRECIATION'!G10</f>
        <v>4080833.33333333</v>
      </c>
      <c r="F5" s="4">
        <f>'CAPEX &amp; DEPRECIATION'!H10</f>
        <v>6693333.33333333</v>
      </c>
      <c r="G5" s="4">
        <f>'CAPEX &amp; DEPRECIATION'!I10</f>
        <v>10435833.3333333</v>
      </c>
      <c r="H5" s="4">
        <f>'CAPEX &amp; DEPRECIATION'!J10</f>
        <v>15028333.3333333</v>
      </c>
      <c r="I5" s="4">
        <f>'CAPEX &amp; DEPRECIATION'!K10</f>
        <v>19278333.3333333</v>
      </c>
      <c r="J5" s="4">
        <f>'CAPEX &amp; DEPRECIATION'!L10</f>
        <v>24378333.3333333</v>
      </c>
      <c r="K5" s="4">
        <f>'CAPEX &amp; DEPRECIATION'!M10</f>
        <v>24933333.3333333</v>
      </c>
      <c r="L5" s="4">
        <f>'CAPEX &amp; DEPRECIATION'!N10</f>
        <v>24808333.3333333</v>
      </c>
      <c r="M5" s="4">
        <f>'CAPEX &amp; DEPRECIATION'!O10</f>
        <v>25025833.3333333</v>
      </c>
      <c r="N5" s="4">
        <f>'CAPEX &amp; DEPRECIATION'!P10</f>
        <v>24545833.3333333</v>
      </c>
    </row>
    <row r="6" ht="20.05" customHeight="1">
      <c r="A6" t="s" s="5">
        <v>180</v>
      </c>
      <c r="B6" t="s" s="5">
        <v>18</v>
      </c>
      <c r="C6" s="8">
        <f>C4+C5</f>
        <v>-1000000</v>
      </c>
      <c r="D6" s="8">
        <f>D4+D5</f>
        <v>1267232.51612898</v>
      </c>
      <c r="E6" s="8">
        <f>E4+E5</f>
        <v>5235804.07483863</v>
      </c>
      <c r="F6" s="8">
        <f>F4+F5</f>
        <v>9701088.223483879</v>
      </c>
      <c r="G6" s="8">
        <f>G4+G5</f>
        <v>15140378.0611097</v>
      </c>
      <c r="H6" s="8">
        <f>H4+H5</f>
        <v>21556818.584026</v>
      </c>
      <c r="I6" s="8">
        <f>I4+I5</f>
        <v>28689875.7309142</v>
      </c>
      <c r="J6" s="8">
        <f>J4+J5</f>
        <v>37019918.3152259</v>
      </c>
      <c r="K6" s="8">
        <f>K4+K5</f>
        <v>39390003.5067491</v>
      </c>
      <c r="L6" s="8">
        <f>L4+L5</f>
        <v>41651035.8894238</v>
      </c>
      <c r="M6" s="8">
        <f>M4+M5</f>
        <v>44094177.9167659</v>
      </c>
      <c r="N6" s="8">
        <f>N4+N5</f>
        <v>44401535.1470267</v>
      </c>
    </row>
    <row r="7" ht="20.05" customHeight="1">
      <c r="A7" s="3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20.05" customHeight="1">
      <c r="A8" t="s" s="5">
        <v>181</v>
      </c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20.05" customHeight="1">
      <c r="A9" t="s" s="7">
        <v>182</v>
      </c>
      <c r="B9" t="s" s="7">
        <v>18</v>
      </c>
      <c r="C9" s="4">
        <f>'CAPEX &amp; DEPRECIATION'!E8*-1</f>
        <v>-23000000</v>
      </c>
      <c r="D9" s="4">
        <f>'CAPEX &amp; DEPRECIATION'!F8*-1</f>
        <v>-30700000</v>
      </c>
      <c r="E9" s="4">
        <f>'CAPEX &amp; DEPRECIATION'!G8*-1</f>
        <v>-38100000</v>
      </c>
      <c r="F9" s="4">
        <f>'CAPEX &amp; DEPRECIATION'!H8*-1</f>
        <v>-51100000</v>
      </c>
      <c r="G9" s="4">
        <f>'CAPEX &amp; DEPRECIATION'!I8*-1</f>
        <v>-61300000</v>
      </c>
      <c r="H9" s="4">
        <f>'CAPEX &amp; DEPRECIATION'!J8*-1</f>
        <v>-68200000</v>
      </c>
      <c r="I9" s="4">
        <f>'CAPEX &amp; DEPRECIATION'!K8*-1</f>
        <v>-17300000</v>
      </c>
      <c r="J9" s="4">
        <f>'CAPEX &amp; DEPRECIATION'!L8*-1</f>
        <v>-2800000</v>
      </c>
      <c r="K9" s="4">
        <f>'CAPEX &amp; DEPRECIATION'!M8*-1</f>
        <v>0</v>
      </c>
      <c r="L9" s="4">
        <f>'CAPEX &amp; DEPRECIATION'!N8*-1</f>
        <v>0</v>
      </c>
      <c r="M9" s="4">
        <f>'CAPEX &amp; DEPRECIATION'!O8*-1</f>
        <v>0</v>
      </c>
      <c r="N9" s="4">
        <f>'CAPEX &amp; DEPRECIATION'!P8*-1</f>
        <v>0</v>
      </c>
    </row>
    <row r="10" ht="20.05" customHeight="1">
      <c r="A10" t="s" s="5">
        <v>183</v>
      </c>
      <c r="B10" t="s" s="5">
        <v>18</v>
      </c>
      <c r="C10" s="8">
        <f>SUM(C9)</f>
        <v>-23000000</v>
      </c>
      <c r="D10" s="8">
        <f>SUM(D9)</f>
        <v>-30700000</v>
      </c>
      <c r="E10" s="8">
        <f>SUM(E9)</f>
        <v>-38100000</v>
      </c>
      <c r="F10" s="8">
        <f>SUM(F9)</f>
        <v>-51100000</v>
      </c>
      <c r="G10" s="8">
        <f>SUM(G9)</f>
        <v>-61300000</v>
      </c>
      <c r="H10" s="8">
        <f>SUM(H9)</f>
        <v>-68200000</v>
      </c>
      <c r="I10" s="8">
        <f>SUM(I9)</f>
        <v>-17300000</v>
      </c>
      <c r="J10" s="8">
        <f>SUM(J9)</f>
        <v>-2800000</v>
      </c>
      <c r="K10" s="8">
        <f>SUM(K9)</f>
        <v>0</v>
      </c>
      <c r="L10" s="8">
        <f>SUM(L9)</f>
        <v>0</v>
      </c>
      <c r="M10" s="8">
        <f>SUM(M9)</f>
        <v>0</v>
      </c>
      <c r="N10" s="8">
        <f>SUM(N9)</f>
        <v>0</v>
      </c>
    </row>
    <row r="11" ht="20.05" customHeight="1">
      <c r="A11" s="6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0.05" customHeight="1">
      <c r="A12" t="s" s="5">
        <v>184</v>
      </c>
      <c r="B12" s="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ht="20.05" customHeight="1">
      <c r="A13" t="s" s="7">
        <v>185</v>
      </c>
      <c r="B13" t="s" s="7">
        <v>18</v>
      </c>
      <c r="C13" s="4">
        <f>'SOURCE_USE OF FUNDS'!C5</f>
        <v>33000000</v>
      </c>
      <c r="D13" s="4">
        <f>'SOURCE_USE OF FUNDS'!D5</f>
        <v>35700000</v>
      </c>
      <c r="E13" s="4">
        <f>'SOURCE_USE OF FUNDS'!E5</f>
        <v>38100000</v>
      </c>
      <c r="F13" s="4">
        <f>'SOURCE_USE OF FUNDS'!F5</f>
        <v>51100000</v>
      </c>
      <c r="G13" s="4">
        <f>'SOURCE_USE OF FUNDS'!G5</f>
        <v>61300000</v>
      </c>
      <c r="H13" s="4">
        <f>'SOURCE_USE OF FUNDS'!H5</f>
        <v>68200000</v>
      </c>
      <c r="I13" s="4">
        <f>'SOURCE_USE OF FUNDS'!I5</f>
        <v>17300000</v>
      </c>
      <c r="J13" s="4">
        <f>'SOURCE_USE OF FUNDS'!J5</f>
        <v>2800000</v>
      </c>
      <c r="K13" s="4">
        <f>'SOURCE_USE OF FUNDS'!K5</f>
        <v>0</v>
      </c>
      <c r="L13" s="4">
        <f>'SOURCE_USE OF FUNDS'!L5</f>
        <v>0</v>
      </c>
      <c r="M13" s="4">
        <f>'SOURCE_USE OF FUNDS'!M5</f>
        <v>0</v>
      </c>
      <c r="N13" s="4">
        <f>'SOURCE_USE OF FUNDS'!N5</f>
        <v>0</v>
      </c>
    </row>
    <row r="14" ht="20.05" customHeight="1">
      <c r="A14" t="s" s="7">
        <v>186</v>
      </c>
      <c r="B14" t="s" s="7">
        <v>50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ht="20.05" customHeight="1">
      <c r="A15" t="s" s="7">
        <v>187</v>
      </c>
      <c r="B15" t="s" s="7">
        <v>18</v>
      </c>
      <c r="C15" s="4">
        <f>(C4*C14)*-1</f>
        <v>0</v>
      </c>
      <c r="D15" s="4">
        <f>(D4*D14)*-1</f>
        <v>0</v>
      </c>
      <c r="E15" s="4">
        <f>(E4*E14)*-1</f>
        <v>0</v>
      </c>
      <c r="F15" s="4">
        <f>(F4*F14)*-1</f>
        <v>0</v>
      </c>
      <c r="G15" s="4">
        <f>(G4*G14)*-1</f>
        <v>0</v>
      </c>
      <c r="H15" s="4">
        <f>(H4*H14)*-1</f>
        <v>0</v>
      </c>
      <c r="I15" s="4">
        <f>(I4*I14)*-1</f>
        <v>0</v>
      </c>
      <c r="J15" s="4">
        <f>(J4*J14)*-1</f>
        <v>0</v>
      </c>
      <c r="K15" s="4">
        <f>(K4*K14)*-1</f>
        <v>0</v>
      </c>
      <c r="L15" s="4">
        <f>(L4*L14)*-1</f>
        <v>0</v>
      </c>
      <c r="M15" s="4">
        <f>(M4*M14)*-1</f>
        <v>0</v>
      </c>
      <c r="N15" s="4">
        <f>(N4*N14)*-1</f>
        <v>0</v>
      </c>
    </row>
    <row r="16" ht="20.05" customHeight="1">
      <c r="A16" t="s" s="7">
        <v>188</v>
      </c>
      <c r="B16" t="s" s="7">
        <v>18</v>
      </c>
      <c r="C16" s="4">
        <f>C15*0.15</f>
        <v>0</v>
      </c>
      <c r="D16" s="4">
        <f>D15*0.15</f>
        <v>0</v>
      </c>
      <c r="E16" s="4">
        <f>E15*0.15</f>
        <v>0</v>
      </c>
      <c r="F16" s="4">
        <f>F15*0.15</f>
        <v>0</v>
      </c>
      <c r="G16" s="4">
        <f>G15*0.15</f>
        <v>0</v>
      </c>
      <c r="H16" s="4">
        <f>H15*0.15</f>
        <v>0</v>
      </c>
      <c r="I16" s="4">
        <f>I15*0.15</f>
        <v>0</v>
      </c>
      <c r="J16" s="4">
        <f>J15*0.15</f>
        <v>0</v>
      </c>
      <c r="K16" s="4">
        <f>K15*0.15</f>
        <v>0</v>
      </c>
      <c r="L16" s="4">
        <f>L15*0.15</f>
        <v>0</v>
      </c>
      <c r="M16" s="4">
        <f>M15*0.15</f>
        <v>0</v>
      </c>
      <c r="N16" s="4">
        <f>N15*0.15</f>
        <v>0</v>
      </c>
    </row>
    <row r="17" ht="20.05" customHeight="1">
      <c r="A17" t="s" s="5">
        <v>189</v>
      </c>
      <c r="B17" t="s" s="5">
        <v>18</v>
      </c>
      <c r="C17" s="8">
        <f>SUM(C15:C16)+C13</f>
        <v>33000000</v>
      </c>
      <c r="D17" s="8">
        <f>SUM(D15:D16)+D13</f>
        <v>35700000</v>
      </c>
      <c r="E17" s="8">
        <f>SUM(E15:E16)+E13</f>
        <v>38100000</v>
      </c>
      <c r="F17" s="8">
        <f>SUM(F15:F16)+F13</f>
        <v>51100000</v>
      </c>
      <c r="G17" s="8">
        <f>SUM(G15:G16)+G13</f>
        <v>61300000</v>
      </c>
      <c r="H17" s="8">
        <f>SUM(H15:H16)+H13</f>
        <v>68200000</v>
      </c>
      <c r="I17" s="8">
        <f>SUM(I15:I16)+I13</f>
        <v>17300000</v>
      </c>
      <c r="J17" s="8">
        <f>SUM(J15:J16)+J13</f>
        <v>2800000</v>
      </c>
      <c r="K17" s="8">
        <f>SUM(K15:K16)+K13</f>
        <v>0</v>
      </c>
      <c r="L17" s="8">
        <f>SUM(L15:L16)+L13</f>
        <v>0</v>
      </c>
      <c r="M17" s="8">
        <f>SUM(M15:M16)+M13</f>
        <v>0</v>
      </c>
      <c r="N17" s="8">
        <f>SUM(N15:N16)+N13</f>
        <v>0</v>
      </c>
    </row>
    <row r="18" ht="20.05" customHeight="1">
      <c r="A18" s="6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20.05" customHeight="1">
      <c r="A19" t="s" s="5">
        <v>190</v>
      </c>
      <c r="B19" t="s" s="5">
        <v>18</v>
      </c>
      <c r="C19" s="8">
        <f>C17+C10+C6</f>
        <v>9000000</v>
      </c>
      <c r="D19" s="8">
        <f>D17+D10+D6</f>
        <v>6267232.51612898</v>
      </c>
      <c r="E19" s="8">
        <f>E17+E10+E6</f>
        <v>5235804.07483863</v>
      </c>
      <c r="F19" s="8">
        <f>F17+F10+F6</f>
        <v>9701088.223483879</v>
      </c>
      <c r="G19" s="8">
        <f>G17+G10+G6</f>
        <v>15140378.0611097</v>
      </c>
      <c r="H19" s="8">
        <f>H17+H10+H6</f>
        <v>21556818.584026</v>
      </c>
      <c r="I19" s="8">
        <f>I17+I10+I6</f>
        <v>28689875.7309142</v>
      </c>
      <c r="J19" s="8">
        <f>J17+J10+J6</f>
        <v>37019918.3152259</v>
      </c>
      <c r="K19" s="8">
        <f>K17+K10+K6</f>
        <v>39390003.5067491</v>
      </c>
      <c r="L19" s="8">
        <f>L17+L10+L6</f>
        <v>41651035.8894238</v>
      </c>
      <c r="M19" s="8">
        <f>M17+M10+M6</f>
        <v>44094177.9167659</v>
      </c>
      <c r="N19" s="8">
        <f>N17+N10+N6</f>
        <v>44401535.1470267</v>
      </c>
    </row>
    <row r="20" ht="20.05" customHeight="1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20.05" customHeight="1">
      <c r="A21" t="s" s="5">
        <v>191</v>
      </c>
      <c r="B21" t="s" s="5">
        <v>18</v>
      </c>
      <c r="C21" s="8">
        <v>0</v>
      </c>
      <c r="D21" s="8">
        <f>C22</f>
        <v>9000000</v>
      </c>
      <c r="E21" s="8">
        <f>D22</f>
        <v>15267232.516129</v>
      </c>
      <c r="F21" s="8">
        <f>E22</f>
        <v>20503036.5909676</v>
      </c>
      <c r="G21" s="8">
        <f>F22</f>
        <v>30204124.8144515</v>
      </c>
      <c r="H21" s="8">
        <f>G22</f>
        <v>45344502.8755612</v>
      </c>
      <c r="I21" s="8">
        <f>H22</f>
        <v>66901321.4595872</v>
      </c>
      <c r="J21" s="8">
        <f>I22</f>
        <v>95591197.19050141</v>
      </c>
      <c r="K21" s="8">
        <f>J22</f>
        <v>132611115.505727</v>
      </c>
      <c r="L21" s="8">
        <f>K22</f>
        <v>172001119.012476</v>
      </c>
      <c r="M21" s="8">
        <f>L22</f>
        <v>213652154.9019</v>
      </c>
      <c r="N21" s="8">
        <f>M22</f>
        <v>257746332.818666</v>
      </c>
    </row>
    <row r="22" ht="20.05" customHeight="1">
      <c r="A22" t="s" s="7">
        <v>192</v>
      </c>
      <c r="B22" t="s" s="5">
        <v>18</v>
      </c>
      <c r="C22" s="4">
        <f>C17+C10+C6</f>
        <v>9000000</v>
      </c>
      <c r="D22" s="4">
        <f>D19+D21</f>
        <v>15267232.516129</v>
      </c>
      <c r="E22" s="4">
        <f>E19+E21</f>
        <v>20503036.5909676</v>
      </c>
      <c r="F22" s="4">
        <f>F19+F21</f>
        <v>30204124.8144515</v>
      </c>
      <c r="G22" s="4">
        <f>G19+G21</f>
        <v>45344502.8755612</v>
      </c>
      <c r="H22" s="4">
        <f>H19+H21</f>
        <v>66901321.4595872</v>
      </c>
      <c r="I22" s="4">
        <f>I19+I21</f>
        <v>95591197.19050141</v>
      </c>
      <c r="J22" s="4">
        <f>J19+J21</f>
        <v>132611115.505727</v>
      </c>
      <c r="K22" s="4">
        <f>K19+K21</f>
        <v>172001119.012476</v>
      </c>
      <c r="L22" s="4">
        <f>L19+L21</f>
        <v>213652154.9019</v>
      </c>
      <c r="M22" s="4">
        <f>M19+M21</f>
        <v>257746332.818666</v>
      </c>
      <c r="N22" s="4">
        <f>N19+N21</f>
        <v>302147867.965693</v>
      </c>
    </row>
    <row r="23" ht="20.05" customHeight="1">
      <c r="A23" s="6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conditionalFormatting sqref="C1:N1 C3:N23">
    <cfRule type="cellIs" dxfId="4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